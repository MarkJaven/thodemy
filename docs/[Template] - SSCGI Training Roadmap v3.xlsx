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08"/>
  <workbookPr/>
  <mc:AlternateContent xmlns:mc="http://schemas.openxmlformats.org/markup-compatibility/2006">
    <mc:Choice Requires="x15">
      <x15ac:absPath xmlns:x15ac="http://schemas.microsoft.com/office/spreadsheetml/2010/11/ac" url="C:\Users\frfernandez.SSCGI\Downloads\"/>
    </mc:Choice>
  </mc:AlternateContent>
  <xr:revisionPtr revIDLastSave="0" documentId="8_{2F6928FF-7C99-4539-BEA8-4CD97151E7A1}" xr6:coauthVersionLast="47" xr6:coauthVersionMax="47" xr10:uidLastSave="{00000000-0000-0000-0000-000000000000}"/>
  <bookViews>
    <workbookView xWindow="-108" yWindow="-108" windowWidth="23256" windowHeight="12456" firstSheet="3" activeTab="3" xr2:uid="{00000000-000D-0000-FFFF-FFFF00000000}"/>
  </bookViews>
  <sheets>
    <sheet name="reference" sheetId="13" state="hidden" r:id="rId1"/>
    <sheet name="Rating" sheetId="27" state="hidden" r:id="rId2"/>
    <sheet name="Performance Summary" sheetId="31" state="hidden" r:id="rId3"/>
    <sheet name="Regularization Endorsement" sheetId="46" r:id="rId4"/>
    <sheet name="Performance Evaluation" sheetId="45" r:id="rId5"/>
    <sheet name="Dashboard" sheetId="37" r:id="rId6"/>
    <sheet name="Part 1 Evaluation" sheetId="44" r:id="rId7"/>
    <sheet name="Technical Evaluation" sheetId="40" r:id="rId8"/>
    <sheet name="BootcampEndorsementScoreCard" sheetId="38" r:id="rId9"/>
    <sheet name="BootCampScoreCard" sheetId="34" r:id="rId10"/>
    <sheet name="ScoreBoard" sheetId="36" r:id="rId11"/>
    <sheet name="TrainingRoadmap" sheetId="3" state="hidden" r:id="rId12"/>
    <sheet name="SSCGI_Training_Roadmap" sheetId="21" state="hidden" r:id="rId13"/>
    <sheet name="SkillsRoadmap" sheetId="14" state="hidden" r:id="rId14"/>
    <sheet name="KPIs" sheetId="15" state="hidden" r:id="rId15"/>
    <sheet name="BA - DAVisualization" sheetId="12" state="hidden" r:id="rId16"/>
    <sheet name="Behavioral Evaluation" sheetId="41" r:id="rId17"/>
    <sheet name="Checklist" sheetId="33" r:id="rId18"/>
    <sheet name="ratingScore" sheetId="32" r:id="rId19"/>
    <sheet name="Sheet2" sheetId="43" r:id="rId20"/>
  </sheets>
  <externalReferences>
    <externalReference r:id="rId21"/>
  </externalReferences>
  <definedNames>
    <definedName name="_xlnm._FilterDatabase" localSheetId="13" hidden="1">SkillsRoadmap!$B$1:$K$72</definedName>
    <definedName name="newRating">ratingScore!$A$1:$E$6</definedName>
    <definedName name="newRating1">ratingScore!$B$2:$E$6</definedName>
    <definedName name="rating" localSheetId="5">[1]ratingScore!$B$2:$E$6</definedName>
    <definedName name="rating">ratingScore!$B$2:$E$6</definedName>
    <definedName name="ratingDesc">#REF!</definedName>
    <definedName name="RatingGrade">#REF!</definedName>
    <definedName name="status">reference!$A$1:$A$4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36" l="1"/>
  <c r="AI7" i="36"/>
  <c r="E24" i="41"/>
  <c r="E25" i="41"/>
  <c r="E26" i="41"/>
  <c r="E27" i="41"/>
  <c r="E28" i="41"/>
  <c r="E29" i="41" s="1"/>
  <c r="E30" i="41" s="1"/>
  <c r="E14" i="41"/>
  <c r="E15" i="41"/>
  <c r="E16" i="41"/>
  <c r="E17" i="41"/>
  <c r="E18" i="41"/>
  <c r="E19" i="41"/>
  <c r="E20" i="41"/>
  <c r="E21" i="41"/>
  <c r="E22" i="41"/>
  <c r="E23" i="41"/>
  <c r="E13" i="41"/>
  <c r="D5" i="33"/>
  <c r="D7" i="33"/>
  <c r="F27" i="37"/>
  <c r="F28" i="37"/>
  <c r="H40" i="40"/>
  <c r="G40" i="40"/>
  <c r="H35" i="40"/>
  <c r="G35" i="40"/>
  <c r="G31" i="40"/>
  <c r="H31" i="40"/>
  <c r="H28" i="40"/>
  <c r="G18" i="40"/>
  <c r="G21" i="40"/>
  <c r="G24" i="40"/>
  <c r="G28" i="40"/>
  <c r="I23" i="40"/>
  <c r="I24" i="40" s="1"/>
  <c r="E14" i="44" s="1"/>
  <c r="H24" i="40"/>
  <c r="I21" i="40"/>
  <c r="D13" i="44" s="1"/>
  <c r="H21" i="40"/>
  <c r="H18" i="40"/>
  <c r="I39" i="40"/>
  <c r="I40" i="40" s="1"/>
  <c r="E18" i="44" s="1"/>
  <c r="F32" i="37" s="1"/>
  <c r="I34" i="40"/>
  <c r="I33" i="40"/>
  <c r="I35" i="40" s="1"/>
  <c r="E17" i="44" s="1"/>
  <c r="F31" i="37" s="1"/>
  <c r="I30" i="40"/>
  <c r="I31" i="40" s="1"/>
  <c r="E16" i="44" s="1"/>
  <c r="F30" i="37" s="1"/>
  <c r="I27" i="40"/>
  <c r="I26" i="40"/>
  <c r="I28" i="40" s="1"/>
  <c r="E15" i="44" s="1"/>
  <c r="F29" i="37" s="1"/>
  <c r="I20" i="40"/>
  <c r="I17" i="40"/>
  <c r="I16" i="40"/>
  <c r="I15" i="40"/>
  <c r="M13" i="34"/>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E5" i="36"/>
  <c r="AE6" i="36"/>
  <c r="AE7" i="36"/>
  <c r="AE8" i="36"/>
  <c r="AE9" i="36"/>
  <c r="AE10" i="36"/>
  <c r="AE11" i="36"/>
  <c r="AE12" i="36"/>
  <c r="AE13" i="36"/>
  <c r="AE14" i="36"/>
  <c r="AE15" i="36"/>
  <c r="AE16" i="36"/>
  <c r="AE17" i="36"/>
  <c r="AE18" i="36"/>
  <c r="AE19" i="36"/>
  <c r="AE20" i="36"/>
  <c r="AE21" i="36"/>
  <c r="AE22" i="36"/>
  <c r="AE23" i="36"/>
  <c r="AE24" i="36"/>
  <c r="AE25" i="36"/>
  <c r="AE26" i="36"/>
  <c r="AE27" i="36"/>
  <c r="AE28" i="36"/>
  <c r="AE29" i="36"/>
  <c r="AE30" i="36"/>
  <c r="AE31" i="36"/>
  <c r="AE32" i="36"/>
  <c r="AE33" i="36"/>
  <c r="AE34" i="36"/>
  <c r="AE35" i="36"/>
  <c r="AE36" i="36"/>
  <c r="AE37" i="36"/>
  <c r="AE38" i="36"/>
  <c r="AE39" i="36"/>
  <c r="AG4" i="36"/>
  <c r="AE4" i="36"/>
  <c r="AD3" i="36"/>
  <c r="O40" i="34"/>
  <c r="M38" i="34"/>
  <c r="AJ14" i="36"/>
  <c r="AJ15" i="36"/>
  <c r="AJ16" i="36"/>
  <c r="AJ17" i="36"/>
  <c r="AJ18" i="36"/>
  <c r="AJ19" i="36"/>
  <c r="AJ20" i="36"/>
  <c r="AJ21" i="36"/>
  <c r="AJ22" i="36"/>
  <c r="AJ23" i="36"/>
  <c r="AJ24" i="36"/>
  <c r="AJ25" i="36"/>
  <c r="AJ26" i="36"/>
  <c r="AJ27" i="36"/>
  <c r="AJ28" i="36"/>
  <c r="AJ29" i="36"/>
  <c r="AJ30" i="36"/>
  <c r="AJ31" i="36"/>
  <c r="AJ32" i="36"/>
  <c r="AJ33" i="36"/>
  <c r="AJ34" i="36"/>
  <c r="AJ35" i="36"/>
  <c r="AJ36" i="36"/>
  <c r="AJ37" i="36"/>
  <c r="AJ38" i="36"/>
  <c r="AJ39" i="36"/>
  <c r="AJ40" i="36"/>
  <c r="AJ41" i="36"/>
  <c r="AJ42" i="36"/>
  <c r="AJ43" i="36"/>
  <c r="AJ44" i="36"/>
  <c r="AJ45" i="36"/>
  <c r="AJ46" i="36"/>
  <c r="AJ47" i="36"/>
  <c r="AJ48" i="36"/>
  <c r="AJ49" i="36"/>
  <c r="AJ50" i="36"/>
  <c r="AJ51" i="36"/>
  <c r="AJ52" i="36"/>
  <c r="AJ53" i="36"/>
  <c r="AJ54" i="36"/>
  <c r="AJ55" i="36"/>
  <c r="AJ56" i="36"/>
  <c r="AJ57" i="36"/>
  <c r="AJ58" i="36"/>
  <c r="AJ59" i="36"/>
  <c r="AJ60" i="36"/>
  <c r="AJ61" i="36"/>
  <c r="AJ62" i="36"/>
  <c r="AJ63" i="36"/>
  <c r="AJ64" i="36"/>
  <c r="AJ65" i="36"/>
  <c r="AJ66" i="36"/>
  <c r="AJ67" i="36"/>
  <c r="AJ68" i="36"/>
  <c r="AJ69" i="36"/>
  <c r="AJ70" i="36"/>
  <c r="AJ71" i="36"/>
  <c r="AJ72" i="36"/>
  <c r="AJ73" i="36"/>
  <c r="AJ74" i="36"/>
  <c r="AJ75" i="36"/>
  <c r="AJ76" i="36"/>
  <c r="AJ77" i="36"/>
  <c r="AJ78" i="36"/>
  <c r="AJ79" i="36"/>
  <c r="AJ80" i="36"/>
  <c r="AJ81" i="36"/>
  <c r="AJ82" i="36"/>
  <c r="AJ83" i="36"/>
  <c r="AJ84" i="36"/>
  <c r="AJ85" i="36"/>
  <c r="AJ86" i="36"/>
  <c r="AJ87" i="36"/>
  <c r="AJ88" i="36"/>
  <c r="AJ89" i="36"/>
  <c r="AJ90" i="36"/>
  <c r="AJ91" i="36"/>
  <c r="AJ92" i="36"/>
  <c r="AJ93" i="36"/>
  <c r="AJ94" i="36"/>
  <c r="AJ95" i="36"/>
  <c r="AJ96" i="36"/>
  <c r="AJ97" i="36"/>
  <c r="AJ98" i="36"/>
  <c r="AJ99" i="36"/>
  <c r="AJ100" i="36"/>
  <c r="AJ101" i="36"/>
  <c r="AJ102" i="36"/>
  <c r="AJ103" i="36"/>
  <c r="AJ104" i="36"/>
  <c r="AJ105" i="36"/>
  <c r="AJ106" i="36"/>
  <c r="AJ107" i="36"/>
  <c r="AJ108" i="36"/>
  <c r="AJ109" i="36"/>
  <c r="AJ110" i="36"/>
  <c r="AJ111" i="36"/>
  <c r="AJ112" i="36"/>
  <c r="AJ113" i="36"/>
  <c r="AJ114" i="36"/>
  <c r="AJ115" i="36"/>
  <c r="AJ116" i="36"/>
  <c r="AJ117" i="36"/>
  <c r="AJ118" i="36"/>
  <c r="AJ119" i="36"/>
  <c r="AJ120" i="36"/>
  <c r="AJ121" i="36"/>
  <c r="AJ122" i="36"/>
  <c r="AJ123" i="36"/>
  <c r="AJ124" i="36"/>
  <c r="AJ125" i="36"/>
  <c r="AJ126" i="36"/>
  <c r="AJ127" i="36"/>
  <c r="AJ128" i="36"/>
  <c r="AJ129" i="36"/>
  <c r="AJ130" i="36"/>
  <c r="AJ131" i="36"/>
  <c r="AL4" i="36"/>
  <c r="AR10" i="36"/>
  <c r="AR11" i="36"/>
  <c r="AR12" i="36"/>
  <c r="AI12" i="36" s="1"/>
  <c r="AR13" i="36"/>
  <c r="AI13" i="36" s="1"/>
  <c r="AI10" i="36"/>
  <c r="AJ10" i="36" s="1"/>
  <c r="AI11" i="36"/>
  <c r="AJ11" i="36" s="1"/>
  <c r="AR8" i="36"/>
  <c r="AI8" i="36" s="1"/>
  <c r="AR9" i="36"/>
  <c r="AP10" i="36"/>
  <c r="AP11" i="36"/>
  <c r="AP12" i="36"/>
  <c r="AH1" i="36"/>
  <c r="AC1" i="36"/>
  <c r="D5" i="36"/>
  <c r="D6" i="36"/>
  <c r="D4" i="36"/>
  <c r="AC5" i="36"/>
  <c r="AC6" i="36"/>
  <c r="AC4" i="36"/>
  <c r="AG115" i="36"/>
  <c r="AE115" i="36"/>
  <c r="AG114" i="36"/>
  <c r="AE114" i="36"/>
  <c r="AG113" i="36"/>
  <c r="AE113" i="36"/>
  <c r="AG112" i="36"/>
  <c r="AE112" i="36"/>
  <c r="AG111" i="36"/>
  <c r="AE111" i="36"/>
  <c r="AG110" i="36"/>
  <c r="AE110" i="36"/>
  <c r="AG109" i="36"/>
  <c r="AE109" i="36"/>
  <c r="AG108" i="36"/>
  <c r="AE108" i="36"/>
  <c r="AG107" i="36"/>
  <c r="AE107" i="36"/>
  <c r="AG106" i="36"/>
  <c r="AE106" i="36"/>
  <c r="AG105" i="36"/>
  <c r="AE105" i="36"/>
  <c r="AG104" i="36"/>
  <c r="AE104" i="36"/>
  <c r="AG103" i="36"/>
  <c r="AE103" i="36"/>
  <c r="AG102" i="36"/>
  <c r="AE102" i="36"/>
  <c r="AG101" i="36"/>
  <c r="AE101" i="36"/>
  <c r="AG100" i="36"/>
  <c r="AE100" i="36"/>
  <c r="AG99" i="36"/>
  <c r="AE99" i="36"/>
  <c r="AG98" i="36"/>
  <c r="AE98" i="36"/>
  <c r="AG97" i="36"/>
  <c r="AE97" i="36"/>
  <c r="AG96" i="36"/>
  <c r="AE96" i="36"/>
  <c r="AG95" i="36"/>
  <c r="AE95" i="36"/>
  <c r="AG94" i="36"/>
  <c r="AE94" i="36"/>
  <c r="AG93" i="36"/>
  <c r="AE93" i="36"/>
  <c r="AG92" i="36"/>
  <c r="AE92" i="36"/>
  <c r="AG91" i="36"/>
  <c r="AE91" i="36"/>
  <c r="AG90" i="36"/>
  <c r="AE90" i="36"/>
  <c r="AG89" i="36"/>
  <c r="AE89" i="36"/>
  <c r="AG88" i="36"/>
  <c r="AE88" i="36"/>
  <c r="AG87" i="36"/>
  <c r="AE87" i="36"/>
  <c r="AG86" i="36"/>
  <c r="AE86" i="36"/>
  <c r="AG85" i="36"/>
  <c r="AE85" i="36"/>
  <c r="AG84" i="36"/>
  <c r="AE84" i="36"/>
  <c r="AG83" i="36"/>
  <c r="AE83" i="36"/>
  <c r="AG82" i="36"/>
  <c r="AE82" i="36"/>
  <c r="AG81" i="36"/>
  <c r="AE81" i="36"/>
  <c r="AG80" i="36"/>
  <c r="AE80" i="36"/>
  <c r="AG79" i="36"/>
  <c r="AE79" i="36"/>
  <c r="AG78" i="36"/>
  <c r="AE78" i="36"/>
  <c r="AG77" i="36"/>
  <c r="AE77" i="36"/>
  <c r="AG76" i="36"/>
  <c r="AE76" i="36"/>
  <c r="AG75" i="36"/>
  <c r="AE75" i="36"/>
  <c r="AG74" i="36"/>
  <c r="AE74" i="36"/>
  <c r="AG73" i="36"/>
  <c r="AE73" i="36"/>
  <c r="AG72" i="36"/>
  <c r="AE72" i="36"/>
  <c r="AG71" i="36"/>
  <c r="AE71" i="36"/>
  <c r="AG70" i="36"/>
  <c r="AE70" i="36"/>
  <c r="AG69" i="36"/>
  <c r="AE69" i="36"/>
  <c r="AG68" i="36"/>
  <c r="AE68" i="36"/>
  <c r="AG67" i="36"/>
  <c r="AE67" i="36"/>
  <c r="AG66" i="36"/>
  <c r="AE66" i="36"/>
  <c r="AG65" i="36"/>
  <c r="AE65" i="36"/>
  <c r="AG64" i="36"/>
  <c r="AE64" i="36"/>
  <c r="AG63" i="36"/>
  <c r="AE63" i="36"/>
  <c r="AG62" i="36"/>
  <c r="AE62" i="36"/>
  <c r="AG61" i="36"/>
  <c r="AE61" i="36"/>
  <c r="AG60" i="36"/>
  <c r="AE60" i="36"/>
  <c r="AG59" i="36"/>
  <c r="AE59" i="36"/>
  <c r="AG58" i="36"/>
  <c r="AE58" i="36"/>
  <c r="AG57" i="36"/>
  <c r="AE57" i="36"/>
  <c r="AG56" i="36"/>
  <c r="AE56" i="36"/>
  <c r="AG55" i="36"/>
  <c r="AE55" i="36"/>
  <c r="AG54" i="36"/>
  <c r="AE54" i="36"/>
  <c r="AG53" i="36"/>
  <c r="AE53" i="36"/>
  <c r="AG52" i="36"/>
  <c r="AE52" i="36"/>
  <c r="AG51" i="36"/>
  <c r="AE51" i="36"/>
  <c r="AG50" i="36"/>
  <c r="AE50" i="36"/>
  <c r="AG49" i="36"/>
  <c r="AE49" i="36"/>
  <c r="AG48" i="36"/>
  <c r="AE48" i="36"/>
  <c r="AG47" i="36"/>
  <c r="AE47" i="36"/>
  <c r="AE46" i="36"/>
  <c r="AE45" i="36"/>
  <c r="AE44" i="36"/>
  <c r="AE43" i="36"/>
  <c r="AE42" i="36"/>
  <c r="AE41" i="36"/>
  <c r="AE40" i="36"/>
  <c r="AF3" i="36"/>
  <c r="N33" i="34" s="1"/>
  <c r="V1" i="36"/>
  <c r="M1" i="36"/>
  <c r="M25" i="34"/>
  <c r="M45" i="34"/>
  <c r="M42" i="34"/>
  <c r="M34" i="34"/>
  <c r="M19" i="34"/>
  <c r="S161" i="33"/>
  <c r="W160" i="33"/>
  <c r="W150" i="33"/>
  <c r="S152" i="33"/>
  <c r="W152" i="33"/>
  <c r="W12" i="33"/>
  <c r="S16" i="33" s="1"/>
  <c r="W16" i="33" s="1"/>
  <c r="S18" i="33" s="1"/>
  <c r="W18" i="33" s="1"/>
  <c r="S23" i="33" s="1"/>
  <c r="W23" i="33" s="1"/>
  <c r="S26" i="33" s="1"/>
  <c r="W26" i="33" s="1"/>
  <c r="S27" i="33" s="1"/>
  <c r="W27" i="33" s="1"/>
  <c r="S29" i="33" s="1"/>
  <c r="W29" i="33" s="1"/>
  <c r="S31" i="33" s="1"/>
  <c r="W31" i="33" s="1"/>
  <c r="S33" i="33" s="1"/>
  <c r="W33" i="33" s="1"/>
  <c r="S35" i="33" s="1"/>
  <c r="W35" i="33" s="1"/>
  <c r="S39" i="33" s="1"/>
  <c r="W39" i="33" s="1"/>
  <c r="S43" i="33" s="1"/>
  <c r="W43" i="33" s="1"/>
  <c r="S47" i="33" s="1"/>
  <c r="W47" i="33" s="1"/>
  <c r="S51" i="33" s="1"/>
  <c r="W51" i="33" s="1"/>
  <c r="S53" i="33" s="1"/>
  <c r="W53" i="33" s="1"/>
  <c r="AR5" i="36"/>
  <c r="AP5" i="36" s="1"/>
  <c r="AR4" i="36"/>
  <c r="AI4" i="36" s="1"/>
  <c r="Z4" i="36"/>
  <c r="X4" i="36"/>
  <c r="S4" i="36"/>
  <c r="Q4" i="36"/>
  <c r="O4" i="36"/>
  <c r="L4" i="36"/>
  <c r="J4" i="36"/>
  <c r="H4" i="36"/>
  <c r="F4" i="36"/>
  <c r="D4" i="33"/>
  <c r="V6" i="36"/>
  <c r="M6" i="36"/>
  <c r="AR6" i="36"/>
  <c r="AI6" i="36" s="1"/>
  <c r="AR7" i="36"/>
  <c r="AP7" i="36"/>
  <c r="O41" i="34" s="1"/>
  <c r="E32" i="37"/>
  <c r="E31" i="37"/>
  <c r="E30" i="37"/>
  <c r="E29" i="37"/>
  <c r="E28" i="37"/>
  <c r="E27" i="37"/>
  <c r="E26" i="37"/>
  <c r="D29" i="41"/>
  <c r="C29" i="41"/>
  <c r="B29" i="41"/>
  <c r="D19" i="38"/>
  <c r="V5" i="36"/>
  <c r="M5" i="36"/>
  <c r="F109" i="36"/>
  <c r="F110" i="36"/>
  <c r="F111" i="36"/>
  <c r="F112" i="36"/>
  <c r="F113" i="36"/>
  <c r="F114" i="36"/>
  <c r="F115" i="36"/>
  <c r="F116" i="36"/>
  <c r="F117" i="36"/>
  <c r="F118" i="36"/>
  <c r="F119" i="36"/>
  <c r="F120" i="36"/>
  <c r="F121" i="36"/>
  <c r="F5" i="36"/>
  <c r="F6" i="36"/>
  <c r="F7" i="36"/>
  <c r="F8" i="36"/>
  <c r="F9" i="36"/>
  <c r="F10" i="36"/>
  <c r="F11" i="36"/>
  <c r="F12" i="36"/>
  <c r="F13" i="36"/>
  <c r="F14" i="36"/>
  <c r="F15" i="36"/>
  <c r="F16" i="36"/>
  <c r="F17" i="36"/>
  <c r="F18" i="36"/>
  <c r="F19" i="36"/>
  <c r="F20" i="36"/>
  <c r="F21" i="36"/>
  <c r="F22" i="36"/>
  <c r="F23" i="36"/>
  <c r="F24" i="36"/>
  <c r="F25" i="36"/>
  <c r="F26" i="36"/>
  <c r="F27" i="36"/>
  <c r="F28" i="36"/>
  <c r="F29" i="36"/>
  <c r="F30" i="36"/>
  <c r="F31" i="36"/>
  <c r="F32" i="36"/>
  <c r="F33" i="36"/>
  <c r="F34" i="36"/>
  <c r="F35" i="36"/>
  <c r="F36" i="36"/>
  <c r="F37" i="36"/>
  <c r="F38" i="36"/>
  <c r="F39" i="36"/>
  <c r="F40" i="36"/>
  <c r="F41" i="36"/>
  <c r="F42" i="36"/>
  <c r="F43" i="36"/>
  <c r="F44" i="36"/>
  <c r="F45" i="36"/>
  <c r="F46" i="36"/>
  <c r="F47" i="36"/>
  <c r="F48" i="36"/>
  <c r="F49" i="36"/>
  <c r="F50" i="36"/>
  <c r="F51" i="36"/>
  <c r="F52" i="36"/>
  <c r="F53" i="36"/>
  <c r="F54" i="36"/>
  <c r="F55" i="36"/>
  <c r="F56" i="36"/>
  <c r="F57" i="36"/>
  <c r="F58" i="36"/>
  <c r="F59" i="36"/>
  <c r="F60" i="36"/>
  <c r="F61" i="36"/>
  <c r="F62" i="36"/>
  <c r="F63" i="36"/>
  <c r="F64" i="36"/>
  <c r="F65" i="36"/>
  <c r="F66" i="36"/>
  <c r="F67" i="36"/>
  <c r="F68" i="36"/>
  <c r="F69" i="36"/>
  <c r="F70" i="36"/>
  <c r="F71" i="36"/>
  <c r="F72" i="36"/>
  <c r="F73" i="36"/>
  <c r="F74" i="36"/>
  <c r="F75" i="36"/>
  <c r="F76" i="36"/>
  <c r="F77" i="36"/>
  <c r="F78" i="36"/>
  <c r="F79" i="36"/>
  <c r="F80" i="36"/>
  <c r="F81" i="36"/>
  <c r="F82" i="36"/>
  <c r="F83" i="36"/>
  <c r="F84" i="36"/>
  <c r="F85" i="36"/>
  <c r="F86" i="36"/>
  <c r="F87" i="36"/>
  <c r="F88" i="36"/>
  <c r="F89" i="36"/>
  <c r="F90" i="36"/>
  <c r="F91" i="36"/>
  <c r="F92" i="36"/>
  <c r="F93" i="36"/>
  <c r="F94" i="36"/>
  <c r="F95" i="36"/>
  <c r="F96" i="36"/>
  <c r="F97" i="36"/>
  <c r="F98" i="36"/>
  <c r="F99" i="36"/>
  <c r="F100" i="36"/>
  <c r="F101" i="36"/>
  <c r="F102" i="36"/>
  <c r="F103" i="36"/>
  <c r="F104" i="36"/>
  <c r="F105" i="36"/>
  <c r="F106" i="36"/>
  <c r="F107" i="36"/>
  <c r="F108" i="36"/>
  <c r="AB4" i="36"/>
  <c r="U4" i="36"/>
  <c r="V4" i="36"/>
  <c r="M4" i="36"/>
  <c r="AL6" i="36"/>
  <c r="AL5" i="36"/>
  <c r="X8" i="36"/>
  <c r="X7" i="36"/>
  <c r="X6" i="36"/>
  <c r="X5" i="36"/>
  <c r="S7" i="36"/>
  <c r="S6" i="36"/>
  <c r="S5" i="36"/>
  <c r="Q7" i="36"/>
  <c r="Q6" i="36"/>
  <c r="Q5" i="36"/>
  <c r="O8" i="36"/>
  <c r="O7" i="36"/>
  <c r="O6" i="36"/>
  <c r="O5" i="36"/>
  <c r="J5" i="36"/>
  <c r="D1" i="36"/>
  <c r="L5" i="36"/>
  <c r="H5" i="36"/>
  <c r="AL7" i="36"/>
  <c r="AL8" i="36"/>
  <c r="AL9" i="36"/>
  <c r="AL10" i="36"/>
  <c r="AL11" i="36"/>
  <c r="AL12" i="36"/>
  <c r="AL13" i="36"/>
  <c r="AL14" i="36"/>
  <c r="AL15" i="36"/>
  <c r="AL16" i="36"/>
  <c r="AL17" i="36"/>
  <c r="AL18" i="36"/>
  <c r="AL19" i="36"/>
  <c r="AL20" i="36"/>
  <c r="AL21" i="36"/>
  <c r="AL22" i="36"/>
  <c r="AL23" i="36"/>
  <c r="AL24" i="36"/>
  <c r="AL25" i="36"/>
  <c r="AL26" i="36"/>
  <c r="AL27" i="36"/>
  <c r="AL28" i="36"/>
  <c r="AL29" i="36"/>
  <c r="AL30" i="36"/>
  <c r="AL31" i="36"/>
  <c r="AL32" i="36"/>
  <c r="AL33" i="36"/>
  <c r="AL34" i="36"/>
  <c r="AL35" i="36"/>
  <c r="AL36" i="36"/>
  <c r="AL37" i="36"/>
  <c r="AL38" i="36"/>
  <c r="AL39" i="36"/>
  <c r="AL40" i="36"/>
  <c r="AL41" i="36"/>
  <c r="AL42" i="36"/>
  <c r="AL43" i="36"/>
  <c r="AL44" i="36"/>
  <c r="AL45" i="36"/>
  <c r="AL46" i="36"/>
  <c r="AL47" i="36"/>
  <c r="AL48" i="36"/>
  <c r="AL49" i="36"/>
  <c r="AL50" i="36"/>
  <c r="AL51" i="36"/>
  <c r="AL52" i="36"/>
  <c r="AL53" i="36"/>
  <c r="AL54" i="36"/>
  <c r="AL55" i="36"/>
  <c r="AL56" i="36"/>
  <c r="AL57" i="36"/>
  <c r="AL58" i="36"/>
  <c r="AL59" i="36"/>
  <c r="AL60" i="36"/>
  <c r="AL61" i="36"/>
  <c r="AL62" i="36"/>
  <c r="AL63" i="36"/>
  <c r="AL64" i="36"/>
  <c r="AL65" i="36"/>
  <c r="AL66" i="36"/>
  <c r="AL67" i="36"/>
  <c r="AL68" i="36"/>
  <c r="AL69" i="36"/>
  <c r="AL70" i="36"/>
  <c r="AL71" i="36"/>
  <c r="AL72" i="36"/>
  <c r="AL73" i="36"/>
  <c r="AL74" i="36"/>
  <c r="AL75" i="36"/>
  <c r="AL76" i="36"/>
  <c r="AL77" i="36"/>
  <c r="AL78" i="36"/>
  <c r="AL79" i="36"/>
  <c r="AL80" i="36"/>
  <c r="AL81" i="36"/>
  <c r="AL82" i="36"/>
  <c r="AL83" i="36"/>
  <c r="AL84" i="36"/>
  <c r="AL85" i="36"/>
  <c r="AL86" i="36"/>
  <c r="AL87" i="36"/>
  <c r="AL88" i="36"/>
  <c r="AL89" i="36"/>
  <c r="AL90" i="36"/>
  <c r="AL91" i="36"/>
  <c r="AL92" i="36"/>
  <c r="AL93" i="36"/>
  <c r="AL94" i="36"/>
  <c r="AL95" i="36"/>
  <c r="AL96" i="36"/>
  <c r="AL97" i="36"/>
  <c r="AL98" i="36"/>
  <c r="AL99" i="36"/>
  <c r="AL100" i="36"/>
  <c r="AL101" i="36"/>
  <c r="AL102" i="36"/>
  <c r="AL103" i="36"/>
  <c r="AL104" i="36"/>
  <c r="AL105" i="36"/>
  <c r="AL106" i="36"/>
  <c r="AL107" i="36"/>
  <c r="AL108" i="36"/>
  <c r="AL109" i="36"/>
  <c r="AL110" i="36"/>
  <c r="AL111" i="36"/>
  <c r="AL112" i="36"/>
  <c r="AL113" i="36"/>
  <c r="AL114" i="36"/>
  <c r="AL115" i="36"/>
  <c r="AL116" i="36"/>
  <c r="AL117" i="36"/>
  <c r="AL118" i="36"/>
  <c r="AL119" i="36"/>
  <c r="AL120" i="36"/>
  <c r="AL121" i="36"/>
  <c r="AL122" i="36"/>
  <c r="AL123" i="36"/>
  <c r="AL124" i="36"/>
  <c r="AL125" i="36"/>
  <c r="AL126" i="36"/>
  <c r="AL127" i="36"/>
  <c r="AL128" i="36"/>
  <c r="AL129" i="36"/>
  <c r="AL130" i="36"/>
  <c r="AL131" i="36"/>
  <c r="AB5" i="36"/>
  <c r="AB6" i="36"/>
  <c r="AB7" i="36"/>
  <c r="AB8" i="36"/>
  <c r="AB9" i="36"/>
  <c r="AB10" i="36"/>
  <c r="AB11" i="36"/>
  <c r="AB12" i="36"/>
  <c r="AB13" i="36"/>
  <c r="AB14" i="36"/>
  <c r="AB15" i="36"/>
  <c r="AB16" i="36"/>
  <c r="AB17" i="36"/>
  <c r="AB18" i="36"/>
  <c r="AB19" i="36"/>
  <c r="AB20" i="36"/>
  <c r="AB21" i="36"/>
  <c r="AB22" i="36"/>
  <c r="AB23" i="36"/>
  <c r="AB24" i="36"/>
  <c r="AB25" i="36"/>
  <c r="AB26" i="36"/>
  <c r="AB27" i="36"/>
  <c r="AB28" i="36"/>
  <c r="AB29" i="36"/>
  <c r="AB30" i="36"/>
  <c r="AB31" i="36"/>
  <c r="AB32" i="36"/>
  <c r="AB33" i="36"/>
  <c r="AB34" i="36"/>
  <c r="AB35" i="36"/>
  <c r="AB36" i="36"/>
  <c r="AB37" i="36"/>
  <c r="AB38" i="36"/>
  <c r="AB39" i="36"/>
  <c r="AB40" i="36"/>
  <c r="AB41" i="36"/>
  <c r="AB42" i="36"/>
  <c r="AB43" i="36"/>
  <c r="AB44" i="36"/>
  <c r="AB45" i="36"/>
  <c r="AB46" i="36"/>
  <c r="AB47" i="36"/>
  <c r="AB48" i="36"/>
  <c r="AB49" i="36"/>
  <c r="AB50" i="36"/>
  <c r="AB51" i="36"/>
  <c r="AB52" i="36"/>
  <c r="AB53" i="36"/>
  <c r="AB54" i="36"/>
  <c r="AB55" i="36"/>
  <c r="AB56" i="36"/>
  <c r="AB57" i="36"/>
  <c r="AB58" i="36"/>
  <c r="AB59" i="36"/>
  <c r="AB60" i="36"/>
  <c r="AB61" i="36"/>
  <c r="AB62" i="36"/>
  <c r="AB63" i="36"/>
  <c r="AB64" i="36"/>
  <c r="AB65" i="36"/>
  <c r="AB66" i="36"/>
  <c r="AB67" i="36"/>
  <c r="AB68" i="36"/>
  <c r="AB69" i="36"/>
  <c r="AB70" i="36"/>
  <c r="AB71" i="36"/>
  <c r="AB72" i="36"/>
  <c r="AB73" i="36"/>
  <c r="AB74" i="36"/>
  <c r="AB75" i="36"/>
  <c r="AB76" i="36"/>
  <c r="AB77" i="36"/>
  <c r="AB78" i="36"/>
  <c r="AB79" i="36"/>
  <c r="AB80" i="36"/>
  <c r="AB81" i="36"/>
  <c r="AB82" i="36"/>
  <c r="AB83" i="36"/>
  <c r="AB84" i="36"/>
  <c r="AB85" i="36"/>
  <c r="AB86" i="36"/>
  <c r="AB87" i="36"/>
  <c r="AB88" i="36"/>
  <c r="AB89" i="36"/>
  <c r="AB90" i="36"/>
  <c r="AB91" i="36"/>
  <c r="AB92" i="36"/>
  <c r="AB93" i="36"/>
  <c r="AB94" i="36"/>
  <c r="AB95" i="36"/>
  <c r="AB96" i="36"/>
  <c r="AB97" i="36"/>
  <c r="AB98" i="36"/>
  <c r="AB99" i="36"/>
  <c r="AB100" i="36"/>
  <c r="AB101" i="36"/>
  <c r="AB102" i="36"/>
  <c r="AB103" i="36"/>
  <c r="AB104" i="36"/>
  <c r="AB105" i="36"/>
  <c r="AB106" i="36"/>
  <c r="AB107" i="36"/>
  <c r="AB108" i="36"/>
  <c r="AB109" i="36"/>
  <c r="AB110" i="36"/>
  <c r="AB111" i="36"/>
  <c r="AB112" i="36"/>
  <c r="AB113" i="36"/>
  <c r="AB114" i="36"/>
  <c r="AB115" i="36"/>
  <c r="AB116" i="36"/>
  <c r="AB117" i="36"/>
  <c r="AB118" i="36"/>
  <c r="AB119" i="36"/>
  <c r="AB120" i="36"/>
  <c r="AB121" i="36"/>
  <c r="AB122" i="36"/>
  <c r="AB123" i="36"/>
  <c r="AB124" i="36"/>
  <c r="AB125" i="36"/>
  <c r="AB126" i="36"/>
  <c r="AB127" i="36"/>
  <c r="AB128" i="36"/>
  <c r="AB129" i="36"/>
  <c r="AB130" i="36"/>
  <c r="AB131" i="36"/>
  <c r="Z5" i="36"/>
  <c r="Z6" i="36"/>
  <c r="Z7" i="36"/>
  <c r="Z8" i="36"/>
  <c r="Z9" i="36"/>
  <c r="Z10" i="36"/>
  <c r="Z11" i="36"/>
  <c r="Z12" i="36"/>
  <c r="Z13" i="36"/>
  <c r="Z14" i="36"/>
  <c r="Z15" i="36"/>
  <c r="Z16" i="36"/>
  <c r="Z17" i="36"/>
  <c r="Z18" i="36"/>
  <c r="Z19" i="36"/>
  <c r="Z20" i="36"/>
  <c r="Z21" i="36"/>
  <c r="Z22" i="36"/>
  <c r="Z23" i="36"/>
  <c r="Z24" i="36"/>
  <c r="Z25" i="36"/>
  <c r="Z26" i="36"/>
  <c r="Z27" i="36"/>
  <c r="Z28" i="36"/>
  <c r="Z29" i="36"/>
  <c r="Z30" i="36"/>
  <c r="Z31" i="36"/>
  <c r="Z32" i="36"/>
  <c r="Z33" i="36"/>
  <c r="Z34" i="36"/>
  <c r="Z35" i="36"/>
  <c r="Z36" i="36"/>
  <c r="Z37" i="36"/>
  <c r="Z38" i="36"/>
  <c r="Z39" i="36"/>
  <c r="Z40" i="36"/>
  <c r="Z41" i="36"/>
  <c r="Z42" i="36"/>
  <c r="Z43" i="36"/>
  <c r="Z44" i="36"/>
  <c r="Z45" i="36"/>
  <c r="Z46" i="36"/>
  <c r="Z47" i="36"/>
  <c r="Z48" i="36"/>
  <c r="Z49" i="36"/>
  <c r="Z50" i="36"/>
  <c r="Z51" i="36"/>
  <c r="Z52" i="36"/>
  <c r="Z53" i="36"/>
  <c r="Z54" i="36"/>
  <c r="Z55" i="36"/>
  <c r="Z56" i="36"/>
  <c r="Z57" i="36"/>
  <c r="Z58" i="36"/>
  <c r="Z59" i="36"/>
  <c r="Z60" i="36"/>
  <c r="Z61" i="36"/>
  <c r="Z62" i="36"/>
  <c r="Z63" i="36"/>
  <c r="Z64" i="36"/>
  <c r="Z65" i="36"/>
  <c r="Z66" i="36"/>
  <c r="Z67" i="36"/>
  <c r="Z68" i="36"/>
  <c r="Z69" i="36"/>
  <c r="Z70" i="36"/>
  <c r="Z71" i="36"/>
  <c r="Z72" i="36"/>
  <c r="Z73" i="36"/>
  <c r="Z74" i="36"/>
  <c r="Z75" i="36"/>
  <c r="Z76" i="36"/>
  <c r="Z77" i="36"/>
  <c r="Z78" i="36"/>
  <c r="Z79" i="36"/>
  <c r="Z80" i="36"/>
  <c r="Z81" i="36"/>
  <c r="Z82" i="36"/>
  <c r="Z83" i="36"/>
  <c r="Z84" i="36"/>
  <c r="Z85" i="36"/>
  <c r="Z86" i="36"/>
  <c r="Z87" i="36"/>
  <c r="Z88" i="36"/>
  <c r="Z89" i="36"/>
  <c r="Z90" i="36"/>
  <c r="Z91" i="36"/>
  <c r="Z92" i="36"/>
  <c r="Z93" i="36"/>
  <c r="Z94" i="36"/>
  <c r="Z95" i="36"/>
  <c r="Z96" i="36"/>
  <c r="Z97" i="36"/>
  <c r="Z98" i="36"/>
  <c r="Z99" i="36"/>
  <c r="Z100" i="36"/>
  <c r="Z101" i="36"/>
  <c r="Z102" i="36"/>
  <c r="Z103" i="36"/>
  <c r="Z104" i="36"/>
  <c r="Z105" i="36"/>
  <c r="Z106" i="36"/>
  <c r="Z107" i="36"/>
  <c r="Z108" i="36"/>
  <c r="Z109" i="36"/>
  <c r="Z110" i="36"/>
  <c r="Z111" i="36"/>
  <c r="Z112" i="36"/>
  <c r="Z113" i="36"/>
  <c r="Z114" i="36"/>
  <c r="Z115" i="36"/>
  <c r="Z116" i="36"/>
  <c r="Z117" i="36"/>
  <c r="Z118" i="36"/>
  <c r="Z119" i="36"/>
  <c r="Z120" i="36"/>
  <c r="Z121" i="36"/>
  <c r="Z122" i="36"/>
  <c r="Z123" i="36"/>
  <c r="Z124" i="36"/>
  <c r="Z125" i="36"/>
  <c r="Z126" i="36"/>
  <c r="Z127" i="36"/>
  <c r="Z128" i="36"/>
  <c r="Z129" i="36"/>
  <c r="Z130" i="36"/>
  <c r="Z131" i="36"/>
  <c r="X9" i="36"/>
  <c r="X10" i="36"/>
  <c r="X11" i="36"/>
  <c r="X12" i="36"/>
  <c r="X13" i="36"/>
  <c r="X14" i="36"/>
  <c r="X15" i="36"/>
  <c r="X16" i="36"/>
  <c r="X17" i="36"/>
  <c r="X18" i="36"/>
  <c r="X19" i="36"/>
  <c r="X20" i="36"/>
  <c r="X21" i="36"/>
  <c r="X22" i="36"/>
  <c r="X23" i="36"/>
  <c r="X24" i="36"/>
  <c r="X25" i="36"/>
  <c r="X26" i="36"/>
  <c r="X27" i="36"/>
  <c r="X28" i="36"/>
  <c r="X29" i="36"/>
  <c r="X30" i="36"/>
  <c r="X31" i="36"/>
  <c r="X32" i="36"/>
  <c r="X33" i="36"/>
  <c r="X34" i="36"/>
  <c r="X35" i="36"/>
  <c r="X36" i="36"/>
  <c r="X37" i="36"/>
  <c r="X38" i="36"/>
  <c r="X39" i="36"/>
  <c r="X40" i="36"/>
  <c r="X41" i="36"/>
  <c r="X42" i="36"/>
  <c r="X43" i="36"/>
  <c r="X44" i="36"/>
  <c r="X45" i="36"/>
  <c r="X46" i="36"/>
  <c r="X47" i="36"/>
  <c r="X48" i="36"/>
  <c r="X49" i="36"/>
  <c r="X50" i="36"/>
  <c r="X51" i="36"/>
  <c r="X52" i="36"/>
  <c r="X53" i="36"/>
  <c r="X54" i="36"/>
  <c r="X55" i="36"/>
  <c r="X56" i="36"/>
  <c r="X57" i="36"/>
  <c r="X58" i="36"/>
  <c r="X59" i="36"/>
  <c r="X60" i="36"/>
  <c r="X61" i="36"/>
  <c r="X62" i="36"/>
  <c r="X63" i="36"/>
  <c r="X64" i="36"/>
  <c r="X65" i="36"/>
  <c r="X66" i="36"/>
  <c r="X67" i="36"/>
  <c r="X68" i="36"/>
  <c r="X69" i="36"/>
  <c r="X70" i="36"/>
  <c r="X71" i="36"/>
  <c r="X72" i="36"/>
  <c r="X73" i="36"/>
  <c r="X74" i="36"/>
  <c r="X75" i="36"/>
  <c r="X76" i="36"/>
  <c r="X77" i="36"/>
  <c r="X78" i="36"/>
  <c r="X79" i="36"/>
  <c r="X80" i="36"/>
  <c r="X81" i="36"/>
  <c r="X82" i="36"/>
  <c r="X83" i="36"/>
  <c r="X84" i="36"/>
  <c r="X85" i="36"/>
  <c r="X86" i="36"/>
  <c r="X87" i="36"/>
  <c r="X88" i="36"/>
  <c r="X89" i="36"/>
  <c r="X90" i="36"/>
  <c r="X91" i="36"/>
  <c r="X92" i="36"/>
  <c r="X93" i="36"/>
  <c r="X94" i="36"/>
  <c r="X95" i="36"/>
  <c r="X96" i="36"/>
  <c r="X97" i="36"/>
  <c r="X98" i="36"/>
  <c r="X99" i="36"/>
  <c r="X100" i="36"/>
  <c r="X101" i="36"/>
  <c r="X102" i="36"/>
  <c r="X103" i="36"/>
  <c r="X104" i="36"/>
  <c r="X105" i="36"/>
  <c r="X106" i="36"/>
  <c r="X107" i="36"/>
  <c r="X108" i="36"/>
  <c r="X109" i="36"/>
  <c r="X110" i="36"/>
  <c r="X111" i="36"/>
  <c r="X112" i="36"/>
  <c r="X113" i="36"/>
  <c r="X114" i="36"/>
  <c r="X115" i="36"/>
  <c r="X116" i="36"/>
  <c r="X117" i="36"/>
  <c r="X118" i="36"/>
  <c r="X119" i="36"/>
  <c r="X120" i="36"/>
  <c r="X121" i="36"/>
  <c r="X122" i="36"/>
  <c r="X123" i="36"/>
  <c r="X124" i="36"/>
  <c r="X125" i="36"/>
  <c r="X126" i="36"/>
  <c r="X127" i="36"/>
  <c r="X128" i="36"/>
  <c r="X129" i="36"/>
  <c r="X130" i="36"/>
  <c r="X131" i="36"/>
  <c r="U6" i="36"/>
  <c r="U5" i="36"/>
  <c r="U7" i="36"/>
  <c r="U8" i="36"/>
  <c r="U9" i="36"/>
  <c r="U10" i="36"/>
  <c r="U11" i="36"/>
  <c r="U12" i="36"/>
  <c r="U13" i="36"/>
  <c r="U14" i="36"/>
  <c r="U15" i="36"/>
  <c r="U16" i="36"/>
  <c r="U17" i="36"/>
  <c r="U18" i="36"/>
  <c r="U19" i="36"/>
  <c r="U20" i="36"/>
  <c r="U21" i="36"/>
  <c r="U22" i="36"/>
  <c r="U23" i="36"/>
  <c r="U24" i="36"/>
  <c r="U25" i="36"/>
  <c r="U26" i="36"/>
  <c r="U27" i="36"/>
  <c r="U28" i="36"/>
  <c r="U29" i="36"/>
  <c r="U30" i="36"/>
  <c r="U31" i="36"/>
  <c r="U32" i="36"/>
  <c r="U33" i="36"/>
  <c r="U34" i="36"/>
  <c r="U35" i="36"/>
  <c r="U36" i="36"/>
  <c r="U37" i="36"/>
  <c r="U38" i="36"/>
  <c r="U39" i="36"/>
  <c r="U40" i="36"/>
  <c r="U41" i="36"/>
  <c r="U42" i="36"/>
  <c r="U43" i="36"/>
  <c r="U44" i="36"/>
  <c r="U45" i="36"/>
  <c r="U46" i="36"/>
  <c r="U47" i="36"/>
  <c r="U48" i="36"/>
  <c r="U49" i="36"/>
  <c r="U50" i="36"/>
  <c r="U51" i="36"/>
  <c r="U52" i="36"/>
  <c r="U53" i="36"/>
  <c r="U54" i="36"/>
  <c r="U55" i="36"/>
  <c r="U56" i="36"/>
  <c r="U57" i="36"/>
  <c r="U58" i="36"/>
  <c r="U59" i="36"/>
  <c r="U60" i="36"/>
  <c r="U61" i="36"/>
  <c r="U62" i="36"/>
  <c r="U63" i="36"/>
  <c r="U64" i="36"/>
  <c r="U65" i="36"/>
  <c r="U66" i="36"/>
  <c r="U67" i="36"/>
  <c r="U68" i="36"/>
  <c r="U69" i="36"/>
  <c r="U70" i="36"/>
  <c r="U71" i="36"/>
  <c r="U72" i="36"/>
  <c r="U73" i="36"/>
  <c r="U74" i="36"/>
  <c r="U75" i="36"/>
  <c r="U76" i="36"/>
  <c r="U77" i="36"/>
  <c r="U78" i="36"/>
  <c r="U79" i="36"/>
  <c r="U80" i="36"/>
  <c r="U81" i="36"/>
  <c r="U82" i="36"/>
  <c r="U83" i="36"/>
  <c r="U84" i="36"/>
  <c r="U85" i="36"/>
  <c r="U86" i="36"/>
  <c r="U87" i="36"/>
  <c r="U88" i="36"/>
  <c r="U89" i="36"/>
  <c r="U90" i="36"/>
  <c r="U91" i="36"/>
  <c r="U92" i="36"/>
  <c r="U93" i="36"/>
  <c r="U94" i="36"/>
  <c r="U95" i="36"/>
  <c r="U96" i="36"/>
  <c r="U97" i="36"/>
  <c r="U98" i="36"/>
  <c r="U99" i="36"/>
  <c r="U100" i="36"/>
  <c r="U101" i="36"/>
  <c r="U102" i="36"/>
  <c r="U103" i="36"/>
  <c r="U104" i="36"/>
  <c r="U105" i="36"/>
  <c r="U106" i="36"/>
  <c r="U107" i="36"/>
  <c r="U108" i="36"/>
  <c r="U109" i="36"/>
  <c r="U110" i="36"/>
  <c r="U111" i="36"/>
  <c r="U112" i="36"/>
  <c r="U113" i="36"/>
  <c r="U114" i="36"/>
  <c r="U115" i="36"/>
  <c r="U116" i="36"/>
  <c r="U117" i="36"/>
  <c r="U118" i="36"/>
  <c r="U119" i="36"/>
  <c r="U120" i="36"/>
  <c r="U121" i="36"/>
  <c r="U122" i="36"/>
  <c r="U123" i="36"/>
  <c r="U124" i="36"/>
  <c r="U125" i="36"/>
  <c r="U126" i="36"/>
  <c r="U127" i="36"/>
  <c r="U128" i="36"/>
  <c r="U129" i="36"/>
  <c r="U130" i="36"/>
  <c r="U131" i="36"/>
  <c r="S8" i="36"/>
  <c r="S9" i="36"/>
  <c r="S10" i="36"/>
  <c r="S11" i="36"/>
  <c r="S12" i="36"/>
  <c r="S13" i="36"/>
  <c r="S14" i="36"/>
  <c r="S15" i="36"/>
  <c r="S16" i="36"/>
  <c r="S17" i="36"/>
  <c r="S18" i="36"/>
  <c r="S19" i="36"/>
  <c r="S20" i="36"/>
  <c r="S21" i="36"/>
  <c r="S22" i="36"/>
  <c r="S23" i="36"/>
  <c r="S24" i="36"/>
  <c r="S25" i="36"/>
  <c r="S26" i="36"/>
  <c r="S27" i="36"/>
  <c r="S28" i="36"/>
  <c r="S29" i="36"/>
  <c r="S30" i="36"/>
  <c r="S31" i="36"/>
  <c r="S32" i="36"/>
  <c r="S33" i="36"/>
  <c r="S34" i="36"/>
  <c r="S35" i="36"/>
  <c r="S36" i="36"/>
  <c r="S37" i="36"/>
  <c r="S38" i="36"/>
  <c r="S39" i="36"/>
  <c r="S40" i="36"/>
  <c r="S41" i="36"/>
  <c r="S42" i="36"/>
  <c r="S43" i="36"/>
  <c r="S44" i="36"/>
  <c r="S45" i="36"/>
  <c r="S46" i="36"/>
  <c r="S47" i="36"/>
  <c r="S48" i="36"/>
  <c r="S49" i="36"/>
  <c r="S50" i="36"/>
  <c r="S51" i="36"/>
  <c r="S52" i="36"/>
  <c r="S53" i="36"/>
  <c r="S54" i="36"/>
  <c r="S55" i="36"/>
  <c r="S56" i="36"/>
  <c r="S57" i="36"/>
  <c r="S58" i="36"/>
  <c r="S59" i="36"/>
  <c r="S60" i="36"/>
  <c r="S61" i="36"/>
  <c r="S62" i="36"/>
  <c r="S63" i="36"/>
  <c r="S64" i="36"/>
  <c r="S65" i="36"/>
  <c r="S66" i="36"/>
  <c r="S67" i="36"/>
  <c r="S68" i="36"/>
  <c r="S69" i="36"/>
  <c r="S70" i="36"/>
  <c r="S71" i="36"/>
  <c r="S72" i="36"/>
  <c r="S73" i="36"/>
  <c r="S74" i="36"/>
  <c r="S75" i="36"/>
  <c r="S76" i="36"/>
  <c r="S77" i="36"/>
  <c r="S78" i="36"/>
  <c r="S79" i="36"/>
  <c r="S80" i="36"/>
  <c r="S81" i="36"/>
  <c r="S82" i="36"/>
  <c r="S83" i="36"/>
  <c r="S84" i="36"/>
  <c r="S85" i="36"/>
  <c r="S86" i="36"/>
  <c r="S87" i="36"/>
  <c r="S88" i="36"/>
  <c r="S89" i="36"/>
  <c r="S90" i="36"/>
  <c r="S91" i="36"/>
  <c r="S92" i="36"/>
  <c r="S93" i="36"/>
  <c r="S94" i="36"/>
  <c r="S95" i="36"/>
  <c r="S96" i="36"/>
  <c r="S97" i="36"/>
  <c r="S98" i="36"/>
  <c r="S99" i="36"/>
  <c r="S100" i="36"/>
  <c r="S101" i="36"/>
  <c r="S102" i="36"/>
  <c r="S103" i="36"/>
  <c r="S104" i="36"/>
  <c r="S105" i="36"/>
  <c r="S106" i="36"/>
  <c r="S107" i="36"/>
  <c r="S108" i="36"/>
  <c r="S109" i="36"/>
  <c r="S110" i="36"/>
  <c r="S111" i="36"/>
  <c r="S112" i="36"/>
  <c r="S113" i="36"/>
  <c r="S114" i="36"/>
  <c r="S115" i="36"/>
  <c r="S116" i="36"/>
  <c r="S117" i="36"/>
  <c r="S118" i="36"/>
  <c r="S119" i="36"/>
  <c r="S120" i="36"/>
  <c r="S121" i="36"/>
  <c r="S122" i="36"/>
  <c r="S123" i="36"/>
  <c r="S124" i="36"/>
  <c r="S125" i="36"/>
  <c r="S126" i="36"/>
  <c r="S127" i="36"/>
  <c r="S128" i="36"/>
  <c r="S129" i="36"/>
  <c r="S130" i="36"/>
  <c r="S131" i="36"/>
  <c r="Q8" i="36"/>
  <c r="Q9" i="36"/>
  <c r="Q10" i="36"/>
  <c r="Q11" i="36"/>
  <c r="Q12" i="36"/>
  <c r="Q13" i="36"/>
  <c r="Q14" i="36"/>
  <c r="Q15" i="36"/>
  <c r="Q16" i="36"/>
  <c r="Q17" i="36"/>
  <c r="Q18" i="36"/>
  <c r="Q19" i="36"/>
  <c r="Q20" i="36"/>
  <c r="Q21" i="36"/>
  <c r="Q22" i="36"/>
  <c r="Q23" i="36"/>
  <c r="Q24" i="36"/>
  <c r="Q25" i="36"/>
  <c r="Q26" i="36"/>
  <c r="Q27" i="36"/>
  <c r="Q28" i="36"/>
  <c r="Q29" i="36"/>
  <c r="Q30" i="36"/>
  <c r="Q31" i="36"/>
  <c r="Q32" i="36"/>
  <c r="Q33" i="36"/>
  <c r="Q34" i="36"/>
  <c r="Q35" i="36"/>
  <c r="Q36" i="36"/>
  <c r="Q37" i="36"/>
  <c r="Q38" i="36"/>
  <c r="Q39" i="36"/>
  <c r="Q40" i="36"/>
  <c r="Q41" i="36"/>
  <c r="Q42" i="36"/>
  <c r="Q43" i="36"/>
  <c r="Q44" i="36"/>
  <c r="Q45" i="36"/>
  <c r="Q46" i="36"/>
  <c r="Q47" i="36"/>
  <c r="Q48" i="36"/>
  <c r="Q49" i="36"/>
  <c r="Q50" i="36"/>
  <c r="Q51" i="36"/>
  <c r="Q52" i="36"/>
  <c r="Q53" i="36"/>
  <c r="Q54" i="36"/>
  <c r="Q55" i="36"/>
  <c r="Q56" i="36"/>
  <c r="Q57" i="36"/>
  <c r="Q58" i="36"/>
  <c r="Q59" i="36"/>
  <c r="Q60" i="36"/>
  <c r="Q61" i="36"/>
  <c r="Q62" i="36"/>
  <c r="Q63" i="36"/>
  <c r="Q64" i="36"/>
  <c r="Q65" i="36"/>
  <c r="Q66" i="36"/>
  <c r="Q67" i="36"/>
  <c r="Q68" i="36"/>
  <c r="Q69" i="36"/>
  <c r="Q70" i="36"/>
  <c r="Q71" i="36"/>
  <c r="Q72" i="36"/>
  <c r="Q73" i="36"/>
  <c r="Q74" i="36"/>
  <c r="Q75" i="36"/>
  <c r="Q76" i="36"/>
  <c r="Q77" i="36"/>
  <c r="Q78" i="36"/>
  <c r="Q79" i="36"/>
  <c r="Q80" i="36"/>
  <c r="Q81" i="36"/>
  <c r="Q82" i="36"/>
  <c r="Q83" i="36"/>
  <c r="Q84" i="36"/>
  <c r="Q85" i="36"/>
  <c r="Q86" i="36"/>
  <c r="Q87" i="36"/>
  <c r="Q88" i="36"/>
  <c r="Q89" i="36"/>
  <c r="Q90" i="36"/>
  <c r="Q91" i="36"/>
  <c r="Q92" i="36"/>
  <c r="Q93" i="36"/>
  <c r="Q94" i="36"/>
  <c r="Q95" i="36"/>
  <c r="Q96" i="36"/>
  <c r="Q97" i="36"/>
  <c r="Q98" i="36"/>
  <c r="Q99" i="36"/>
  <c r="Q100" i="36"/>
  <c r="Q101" i="36"/>
  <c r="Q102" i="36"/>
  <c r="Q103" i="36"/>
  <c r="Q104" i="36"/>
  <c r="Q105" i="36"/>
  <c r="Q106" i="36"/>
  <c r="Q107" i="36"/>
  <c r="Q108" i="36"/>
  <c r="Q109" i="36"/>
  <c r="Q110" i="36"/>
  <c r="Q111" i="36"/>
  <c r="Q112" i="36"/>
  <c r="Q113" i="36"/>
  <c r="Q114" i="36"/>
  <c r="Q115" i="36"/>
  <c r="Q116" i="36"/>
  <c r="Q117" i="36"/>
  <c r="Q118" i="36"/>
  <c r="Q119" i="36"/>
  <c r="Q120" i="36"/>
  <c r="Q121" i="36"/>
  <c r="Q122" i="36"/>
  <c r="Q123" i="36"/>
  <c r="Q124" i="36"/>
  <c r="Q125" i="36"/>
  <c r="Q126" i="36"/>
  <c r="Q127" i="36"/>
  <c r="Q128" i="36"/>
  <c r="Q129" i="36"/>
  <c r="Q130" i="36"/>
  <c r="Q131" i="36"/>
  <c r="O9" i="36"/>
  <c r="O10" i="36"/>
  <c r="O11" i="36"/>
  <c r="O12" i="36"/>
  <c r="O13" i="36"/>
  <c r="O14" i="36"/>
  <c r="O15" i="36"/>
  <c r="O16" i="36"/>
  <c r="O17" i="36"/>
  <c r="O18" i="36"/>
  <c r="O19" i="36"/>
  <c r="O20" i="36"/>
  <c r="O21" i="36"/>
  <c r="O22" i="36"/>
  <c r="O23" i="36"/>
  <c r="O24" i="36"/>
  <c r="O25" i="36"/>
  <c r="O26" i="36"/>
  <c r="O27" i="36"/>
  <c r="O28" i="36"/>
  <c r="O29" i="36"/>
  <c r="O30" i="36"/>
  <c r="O31" i="36"/>
  <c r="O32" i="36"/>
  <c r="O33" i="36"/>
  <c r="O34" i="36"/>
  <c r="O35" i="36"/>
  <c r="O36" i="36"/>
  <c r="O37" i="36"/>
  <c r="O38" i="36"/>
  <c r="O39" i="36"/>
  <c r="O40" i="36"/>
  <c r="O41" i="36"/>
  <c r="O42" i="36"/>
  <c r="O43" i="36"/>
  <c r="O44" i="36"/>
  <c r="O45" i="36"/>
  <c r="O46" i="36"/>
  <c r="O47" i="36"/>
  <c r="O48" i="36"/>
  <c r="O49" i="36"/>
  <c r="O50" i="36"/>
  <c r="O51" i="36"/>
  <c r="O52" i="36"/>
  <c r="O53" i="36"/>
  <c r="O54" i="36"/>
  <c r="O55" i="36"/>
  <c r="O56" i="36"/>
  <c r="O57" i="36"/>
  <c r="O58" i="36"/>
  <c r="O59" i="36"/>
  <c r="O60" i="36"/>
  <c r="O61" i="36"/>
  <c r="O62" i="36"/>
  <c r="O63" i="36"/>
  <c r="O64" i="36"/>
  <c r="O65" i="36"/>
  <c r="O66" i="36"/>
  <c r="O67" i="36"/>
  <c r="O68" i="36"/>
  <c r="O69" i="36"/>
  <c r="O70" i="36"/>
  <c r="O71" i="36"/>
  <c r="O72" i="36"/>
  <c r="O73" i="36"/>
  <c r="O74" i="36"/>
  <c r="O75" i="36"/>
  <c r="O76" i="36"/>
  <c r="O77" i="36"/>
  <c r="O78" i="36"/>
  <c r="O79" i="36"/>
  <c r="O80" i="36"/>
  <c r="O81" i="36"/>
  <c r="O82" i="36"/>
  <c r="O83" i="36"/>
  <c r="O84" i="36"/>
  <c r="O85" i="36"/>
  <c r="O86" i="36"/>
  <c r="O87" i="36"/>
  <c r="O88" i="36"/>
  <c r="O89" i="36"/>
  <c r="O90" i="36"/>
  <c r="O91" i="36"/>
  <c r="O92" i="36"/>
  <c r="O93" i="36"/>
  <c r="O94" i="36"/>
  <c r="O95" i="36"/>
  <c r="O96" i="36"/>
  <c r="O97" i="36"/>
  <c r="O98" i="36"/>
  <c r="O99" i="36"/>
  <c r="O100" i="36"/>
  <c r="O101" i="36"/>
  <c r="O102" i="36"/>
  <c r="O103" i="36"/>
  <c r="O104" i="36"/>
  <c r="O105" i="36"/>
  <c r="O106" i="36"/>
  <c r="O107" i="36"/>
  <c r="O108" i="36"/>
  <c r="O109" i="36"/>
  <c r="O110" i="36"/>
  <c r="O111" i="36"/>
  <c r="O112" i="36"/>
  <c r="O113" i="36"/>
  <c r="O114" i="36"/>
  <c r="O115" i="36"/>
  <c r="O116" i="36"/>
  <c r="O117" i="36"/>
  <c r="O118" i="36"/>
  <c r="O119" i="36"/>
  <c r="O120" i="36"/>
  <c r="O121" i="36"/>
  <c r="O122" i="36"/>
  <c r="O123" i="36"/>
  <c r="O124" i="36"/>
  <c r="O125" i="36"/>
  <c r="O126" i="36"/>
  <c r="O127" i="36"/>
  <c r="O128" i="36"/>
  <c r="O129" i="36"/>
  <c r="O130" i="36"/>
  <c r="O131" i="36"/>
  <c r="L6" i="36"/>
  <c r="L7" i="36"/>
  <c r="L8" i="36"/>
  <c r="L9" i="36"/>
  <c r="L10" i="36"/>
  <c r="L11" i="36"/>
  <c r="L12" i="36"/>
  <c r="L13" i="36"/>
  <c r="L14" i="36"/>
  <c r="L15" i="36"/>
  <c r="L16" i="36"/>
  <c r="L17" i="36"/>
  <c r="L18" i="36"/>
  <c r="L19" i="36"/>
  <c r="L20" i="36"/>
  <c r="L21" i="36"/>
  <c r="L22" i="36"/>
  <c r="L23" i="36"/>
  <c r="L24" i="36"/>
  <c r="L25" i="36"/>
  <c r="L26" i="36"/>
  <c r="L27" i="36"/>
  <c r="L28" i="36"/>
  <c r="L29" i="36"/>
  <c r="L30" i="36"/>
  <c r="L31" i="36"/>
  <c r="L32" i="36"/>
  <c r="L33" i="36"/>
  <c r="L34" i="36"/>
  <c r="L35" i="36"/>
  <c r="L36" i="36"/>
  <c r="L37" i="36"/>
  <c r="L38" i="36"/>
  <c r="L39" i="36"/>
  <c r="L40" i="36"/>
  <c r="L41" i="36"/>
  <c r="L42" i="36"/>
  <c r="L43" i="36"/>
  <c r="L44" i="36"/>
  <c r="L45" i="36"/>
  <c r="L46" i="36"/>
  <c r="L47" i="36"/>
  <c r="L48" i="36"/>
  <c r="L49" i="36"/>
  <c r="L50" i="36"/>
  <c r="L51" i="36"/>
  <c r="L52" i="36"/>
  <c r="L53" i="36"/>
  <c r="L54" i="36"/>
  <c r="L55" i="36"/>
  <c r="L56" i="36"/>
  <c r="L57" i="36"/>
  <c r="L58" i="36"/>
  <c r="L59" i="36"/>
  <c r="L60" i="36"/>
  <c r="L61" i="36"/>
  <c r="L62" i="36"/>
  <c r="L63" i="36"/>
  <c r="L64" i="36"/>
  <c r="L65" i="36"/>
  <c r="L66" i="36"/>
  <c r="L67" i="36"/>
  <c r="L68" i="36"/>
  <c r="L69" i="36"/>
  <c r="L70" i="36"/>
  <c r="L71" i="36"/>
  <c r="L72" i="36"/>
  <c r="L73" i="36"/>
  <c r="L74" i="36"/>
  <c r="L75" i="36"/>
  <c r="L76" i="36"/>
  <c r="L77" i="36"/>
  <c r="L78" i="36"/>
  <c r="L79" i="36"/>
  <c r="L80" i="36"/>
  <c r="L81" i="36"/>
  <c r="L82" i="36"/>
  <c r="L83" i="36"/>
  <c r="L84" i="36"/>
  <c r="L85" i="36"/>
  <c r="L86" i="36"/>
  <c r="L87" i="36"/>
  <c r="L88" i="36"/>
  <c r="L89" i="36"/>
  <c r="L90" i="36"/>
  <c r="L91" i="36"/>
  <c r="L92" i="36"/>
  <c r="L93" i="36"/>
  <c r="L94" i="36"/>
  <c r="L95" i="36"/>
  <c r="L96" i="36"/>
  <c r="L97" i="36"/>
  <c r="L98" i="36"/>
  <c r="L99" i="36"/>
  <c r="L100" i="36"/>
  <c r="L101" i="36"/>
  <c r="L102" i="36"/>
  <c r="L103" i="36"/>
  <c r="L104" i="36"/>
  <c r="L105" i="36"/>
  <c r="L106" i="36"/>
  <c r="L107" i="36"/>
  <c r="L108" i="36"/>
  <c r="L109" i="36"/>
  <c r="L110" i="36"/>
  <c r="L111" i="36"/>
  <c r="L112" i="36"/>
  <c r="L113" i="36"/>
  <c r="L114" i="36"/>
  <c r="L115" i="36"/>
  <c r="L116" i="36"/>
  <c r="L117" i="36"/>
  <c r="L118" i="36"/>
  <c r="L119" i="36"/>
  <c r="L120" i="36"/>
  <c r="L121" i="36"/>
  <c r="L122" i="36"/>
  <c r="L123" i="36"/>
  <c r="L124" i="36"/>
  <c r="L125" i="36"/>
  <c r="L126" i="36"/>
  <c r="L127" i="36"/>
  <c r="L128" i="36"/>
  <c r="L129" i="36"/>
  <c r="L130" i="36"/>
  <c r="L131" i="36"/>
  <c r="J6" i="36"/>
  <c r="J7" i="36"/>
  <c r="J8" i="36"/>
  <c r="J9" i="36"/>
  <c r="J10" i="36"/>
  <c r="J11" i="36"/>
  <c r="J12" i="36"/>
  <c r="J13" i="36"/>
  <c r="J14" i="36"/>
  <c r="J15" i="36"/>
  <c r="J16" i="36"/>
  <c r="J17" i="36"/>
  <c r="J18" i="36"/>
  <c r="J19" i="36"/>
  <c r="J20" i="36"/>
  <c r="J21" i="36"/>
  <c r="J22" i="36"/>
  <c r="J23" i="36"/>
  <c r="J24" i="36"/>
  <c r="J25" i="36"/>
  <c r="J26" i="36"/>
  <c r="J27" i="36"/>
  <c r="J28" i="36"/>
  <c r="J29" i="36"/>
  <c r="J30" i="36"/>
  <c r="J31" i="36"/>
  <c r="J32" i="36"/>
  <c r="J33" i="36"/>
  <c r="J34" i="36"/>
  <c r="J35" i="36"/>
  <c r="J36" i="36"/>
  <c r="J37" i="36"/>
  <c r="J38" i="36"/>
  <c r="J39" i="36"/>
  <c r="J40" i="36"/>
  <c r="J41" i="36"/>
  <c r="J42" i="36"/>
  <c r="J43" i="36"/>
  <c r="J44" i="36"/>
  <c r="J45" i="36"/>
  <c r="J46" i="36"/>
  <c r="J47" i="36"/>
  <c r="J48" i="36"/>
  <c r="J49" i="36"/>
  <c r="J50" i="36"/>
  <c r="J51" i="36"/>
  <c r="J52" i="36"/>
  <c r="J53" i="36"/>
  <c r="J54" i="36"/>
  <c r="J55" i="36"/>
  <c r="J56" i="36"/>
  <c r="J57" i="36"/>
  <c r="J58" i="36"/>
  <c r="J59" i="36"/>
  <c r="J60" i="36"/>
  <c r="J61" i="36"/>
  <c r="J62" i="36"/>
  <c r="J63" i="36"/>
  <c r="J64" i="36"/>
  <c r="J65" i="36"/>
  <c r="J66" i="36"/>
  <c r="J67" i="36"/>
  <c r="J68" i="36"/>
  <c r="J69" i="36"/>
  <c r="J70" i="36"/>
  <c r="J71" i="36"/>
  <c r="J72" i="36"/>
  <c r="J73" i="36"/>
  <c r="J74" i="36"/>
  <c r="J75" i="36"/>
  <c r="J76" i="36"/>
  <c r="J77" i="36"/>
  <c r="J78" i="36"/>
  <c r="J79" i="36"/>
  <c r="J80" i="36"/>
  <c r="J81" i="36"/>
  <c r="J82" i="36"/>
  <c r="J83" i="36"/>
  <c r="J84" i="36"/>
  <c r="J85" i="36"/>
  <c r="J86" i="36"/>
  <c r="J87" i="36"/>
  <c r="J88" i="36"/>
  <c r="J89" i="36"/>
  <c r="J90" i="36"/>
  <c r="J91" i="36"/>
  <c r="J92" i="36"/>
  <c r="J93" i="36"/>
  <c r="J94" i="36"/>
  <c r="J95" i="36"/>
  <c r="J96" i="36"/>
  <c r="J97" i="36"/>
  <c r="J98" i="36"/>
  <c r="J99" i="36"/>
  <c r="J100" i="36"/>
  <c r="J101" i="36"/>
  <c r="J102" i="36"/>
  <c r="J103" i="36"/>
  <c r="J104" i="36"/>
  <c r="J105" i="36"/>
  <c r="J106" i="36"/>
  <c r="J107" i="36"/>
  <c r="J108" i="36"/>
  <c r="J109" i="36"/>
  <c r="J110" i="36"/>
  <c r="J111" i="36"/>
  <c r="J112" i="36"/>
  <c r="J113" i="36"/>
  <c r="J114" i="36"/>
  <c r="J115" i="36"/>
  <c r="J116" i="36"/>
  <c r="J117" i="36"/>
  <c r="J118" i="36"/>
  <c r="J119" i="36"/>
  <c r="J120" i="36"/>
  <c r="J121" i="36"/>
  <c r="J122" i="36"/>
  <c r="J123" i="36"/>
  <c r="J124" i="36"/>
  <c r="J125" i="36"/>
  <c r="J126" i="36"/>
  <c r="J127" i="36"/>
  <c r="J128" i="36"/>
  <c r="J129" i="36"/>
  <c r="J130" i="36"/>
  <c r="J131" i="36"/>
  <c r="H6" i="36"/>
  <c r="H7" i="36"/>
  <c r="H8" i="36"/>
  <c r="H9" i="36"/>
  <c r="H10" i="36"/>
  <c r="H11" i="36"/>
  <c r="H12" i="36"/>
  <c r="H13" i="36"/>
  <c r="H14" i="36"/>
  <c r="H15" i="36"/>
  <c r="H16" i="36"/>
  <c r="H17" i="36"/>
  <c r="H18" i="36"/>
  <c r="H19" i="36"/>
  <c r="H20" i="36"/>
  <c r="H21" i="36"/>
  <c r="H22" i="36"/>
  <c r="H23" i="36"/>
  <c r="H24" i="36"/>
  <c r="H25" i="36"/>
  <c r="H26" i="36"/>
  <c r="H27" i="36"/>
  <c r="H28" i="36"/>
  <c r="H29" i="36"/>
  <c r="H30" i="36"/>
  <c r="H31" i="36"/>
  <c r="H32" i="36"/>
  <c r="H33" i="36"/>
  <c r="H34" i="36"/>
  <c r="H35" i="36"/>
  <c r="H36" i="36"/>
  <c r="H37" i="36"/>
  <c r="H38" i="36"/>
  <c r="H39" i="36"/>
  <c r="H40" i="36"/>
  <c r="H41" i="36"/>
  <c r="H42" i="36"/>
  <c r="H43" i="36"/>
  <c r="H44" i="36"/>
  <c r="H45" i="36"/>
  <c r="H46" i="36"/>
  <c r="H47" i="36"/>
  <c r="H48" i="36"/>
  <c r="H49" i="36"/>
  <c r="H50" i="36"/>
  <c r="H51" i="36"/>
  <c r="H52" i="36"/>
  <c r="H53" i="36"/>
  <c r="H54" i="36"/>
  <c r="H55" i="36"/>
  <c r="H56" i="36"/>
  <c r="H57" i="36"/>
  <c r="H58" i="36"/>
  <c r="H59" i="36"/>
  <c r="H60" i="36"/>
  <c r="H61" i="36"/>
  <c r="H62" i="36"/>
  <c r="H63" i="36"/>
  <c r="H64" i="36"/>
  <c r="H65" i="36"/>
  <c r="H66" i="36"/>
  <c r="H67" i="36"/>
  <c r="H68" i="36"/>
  <c r="H69" i="36"/>
  <c r="H70" i="36"/>
  <c r="H71" i="36"/>
  <c r="H72" i="36"/>
  <c r="H73" i="36"/>
  <c r="H74" i="36"/>
  <c r="H75" i="36"/>
  <c r="H76" i="36"/>
  <c r="H77" i="36"/>
  <c r="H78" i="36"/>
  <c r="H79" i="36"/>
  <c r="H80" i="36"/>
  <c r="H81" i="36"/>
  <c r="H82" i="36"/>
  <c r="H83" i="36"/>
  <c r="H84" i="36"/>
  <c r="H85" i="36"/>
  <c r="H86" i="36"/>
  <c r="H87" i="36"/>
  <c r="H88" i="36"/>
  <c r="H89" i="36"/>
  <c r="H90" i="36"/>
  <c r="H91" i="36"/>
  <c r="H92" i="36"/>
  <c r="H93" i="36"/>
  <c r="H94" i="36"/>
  <c r="H95" i="36"/>
  <c r="H96" i="36"/>
  <c r="H97" i="36"/>
  <c r="H98" i="36"/>
  <c r="H99" i="36"/>
  <c r="H100" i="36"/>
  <c r="H101" i="36"/>
  <c r="H102" i="36"/>
  <c r="H103" i="36"/>
  <c r="H104" i="36"/>
  <c r="H105" i="36"/>
  <c r="H106" i="36"/>
  <c r="H107" i="36"/>
  <c r="H108" i="36"/>
  <c r="H109" i="36"/>
  <c r="H110" i="36"/>
  <c r="H111" i="36"/>
  <c r="H112" i="36"/>
  <c r="H113" i="36"/>
  <c r="H114" i="36"/>
  <c r="H115" i="36"/>
  <c r="H116" i="36"/>
  <c r="H117" i="36"/>
  <c r="H118" i="36"/>
  <c r="H119" i="36"/>
  <c r="H120" i="36"/>
  <c r="H121" i="36"/>
  <c r="H122" i="36"/>
  <c r="H123" i="36"/>
  <c r="H124" i="36"/>
  <c r="H125" i="36"/>
  <c r="H126" i="36"/>
  <c r="H127" i="36"/>
  <c r="H128" i="36"/>
  <c r="H129" i="36"/>
  <c r="H130" i="36"/>
  <c r="H131" i="36"/>
  <c r="F122" i="36"/>
  <c r="F123" i="36"/>
  <c r="F124" i="36"/>
  <c r="F125" i="36"/>
  <c r="F126" i="36"/>
  <c r="F127" i="36"/>
  <c r="F128" i="36"/>
  <c r="F129" i="36"/>
  <c r="F130" i="36"/>
  <c r="F131" i="36"/>
  <c r="M30" i="34"/>
  <c r="D8" i="31"/>
  <c r="D7" i="31"/>
  <c r="D6" i="31"/>
  <c r="D4" i="31"/>
  <c r="D5" i="31"/>
  <c r="D2" i="31"/>
  <c r="E17" i="31"/>
  <c r="E13" i="31"/>
  <c r="E25" i="15"/>
  <c r="E24" i="15"/>
  <c r="E23" i="15"/>
  <c r="F22" i="15"/>
  <c r="E22" i="15"/>
  <c r="E21" i="15"/>
  <c r="E20" i="15"/>
  <c r="E19" i="15"/>
  <c r="E18" i="15"/>
  <c r="F17" i="15"/>
  <c r="E17" i="15"/>
  <c r="F12" i="15"/>
  <c r="E14" i="15"/>
  <c r="E15" i="15"/>
  <c r="E16" i="15"/>
  <c r="E13" i="15"/>
  <c r="G13" i="15"/>
  <c r="F8" i="14"/>
  <c r="F3" i="14"/>
  <c r="F40" i="14"/>
  <c r="F62" i="14"/>
  <c r="F51" i="14"/>
  <c r="F31" i="14"/>
  <c r="F20" i="14"/>
  <c r="G18" i="12"/>
  <c r="G19" i="12"/>
  <c r="I2" i="12"/>
  <c r="X25" i="3"/>
  <c r="D6" i="33"/>
  <c r="G23" i="15"/>
  <c r="G18" i="15"/>
  <c r="E12" i="15"/>
  <c r="G21" i="15"/>
  <c r="G16" i="15"/>
  <c r="G25" i="15"/>
  <c r="G20" i="15"/>
  <c r="G15" i="15"/>
  <c r="G24" i="15"/>
  <c r="G19" i="15"/>
  <c r="G14" i="15"/>
  <c r="G12" i="15"/>
  <c r="F71" i="14"/>
  <c r="F73" i="14"/>
  <c r="F74" i="14"/>
  <c r="F72" i="14"/>
  <c r="E15" i="31"/>
  <c r="E14" i="31"/>
  <c r="G17" i="15"/>
  <c r="G22" i="15"/>
  <c r="E16" i="31"/>
  <c r="G4" i="31"/>
  <c r="H4" i="31"/>
  <c r="I18" i="40" l="1"/>
  <c r="AJ13" i="36"/>
  <c r="AH13" i="36"/>
  <c r="AJ12" i="36"/>
  <c r="AH12" i="36"/>
  <c r="AP6" i="36"/>
  <c r="AP13" i="36"/>
  <c r="AH11" i="36"/>
  <c r="AP4" i="36"/>
  <c r="AH10" i="36"/>
  <c r="AI5" i="36"/>
  <c r="AH5" i="36" s="1"/>
  <c r="D8" i="33"/>
  <c r="AC3" i="36"/>
  <c r="F19" i="44"/>
  <c r="H5" i="40"/>
  <c r="E12" i="44"/>
  <c r="F26" i="37" s="1"/>
  <c r="G24" i="37" s="1"/>
  <c r="AH7" i="36"/>
  <c r="AJ7" i="36"/>
  <c r="AH6" i="36"/>
  <c r="AJ6" i="36"/>
  <c r="AH4" i="36"/>
  <c r="AJ4" i="36"/>
  <c r="AJ5" i="36"/>
  <c r="N32" i="34"/>
  <c r="AP9" i="36"/>
  <c r="AI9" i="36"/>
  <c r="AP8" i="36"/>
  <c r="T3" i="36"/>
  <c r="N24" i="34" s="1"/>
  <c r="O24" i="34" s="1"/>
  <c r="N3" i="36"/>
  <c r="N21" i="34" s="1"/>
  <c r="O21" i="34" s="1"/>
  <c r="P3" i="36"/>
  <c r="R3" i="36"/>
  <c r="N23" i="34" s="1"/>
  <c r="O23" i="34" s="1"/>
  <c r="W3" i="36"/>
  <c r="AK3" i="36"/>
  <c r="N42" i="34"/>
  <c r="AR3" i="36"/>
  <c r="O44" i="34"/>
  <c r="O45" i="34" s="1"/>
  <c r="E18" i="38" s="1"/>
  <c r="F20" i="37" s="1"/>
  <c r="N45" i="34"/>
  <c r="O42" i="34"/>
  <c r="E17" i="38" s="1"/>
  <c r="S153" i="33"/>
  <c r="W153" i="33" s="1"/>
  <c r="S156" i="33" s="1"/>
  <c r="W156" i="33" s="1"/>
  <c r="S159" i="33" s="1"/>
  <c r="W159" i="33" s="1"/>
  <c r="S160" i="33" s="1"/>
  <c r="S57" i="33"/>
  <c r="W57" i="33" s="1"/>
  <c r="S59" i="33" s="1"/>
  <c r="W59" i="33" s="1"/>
  <c r="S62" i="33" s="1"/>
  <c r="W62" i="33" s="1"/>
  <c r="S64" i="33" s="1"/>
  <c r="W64" i="33" s="1"/>
  <c r="S67" i="33" s="1"/>
  <c r="W67" i="33" s="1"/>
  <c r="S71" i="33" s="1"/>
  <c r="W71" i="33" s="1"/>
  <c r="S73" i="33" s="1"/>
  <c r="W73" i="33" s="1"/>
  <c r="S75" i="33" s="1"/>
  <c r="W75" i="33" s="1"/>
  <c r="S78" i="33" s="1"/>
  <c r="W78" i="33" s="1"/>
  <c r="S80" i="33" s="1"/>
  <c r="W80" i="33" s="1"/>
  <c r="S82" i="33" s="1"/>
  <c r="W82" i="33" s="1"/>
  <c r="S55" i="33"/>
  <c r="W55" i="33" s="1"/>
  <c r="Y3" i="36"/>
  <c r="N28" i="34" s="1"/>
  <c r="AA3" i="36"/>
  <c r="K3" i="36"/>
  <c r="I3" i="36"/>
  <c r="E3" i="36"/>
  <c r="V3" i="36" l="1"/>
  <c r="F19" i="37"/>
  <c r="E19" i="44"/>
  <c r="F20" i="45"/>
  <c r="AH8" i="36"/>
  <c r="AJ8" i="36"/>
  <c r="AH9" i="36"/>
  <c r="AJ9" i="36"/>
  <c r="N37" i="34"/>
  <c r="N29" i="34"/>
  <c r="O29" i="34" s="1"/>
  <c r="N27" i="34"/>
  <c r="O27" i="34" s="1"/>
  <c r="N22" i="34"/>
  <c r="N25" i="34" s="1"/>
  <c r="N18" i="34"/>
  <c r="O18" i="34" s="1"/>
  <c r="N17" i="34"/>
  <c r="O17" i="34" s="1"/>
  <c r="N15" i="34"/>
  <c r="O15" i="34" s="1"/>
  <c r="O33" i="34"/>
  <c r="M3" i="36"/>
  <c r="S87" i="33"/>
  <c r="W87" i="33" s="1"/>
  <c r="S91" i="33" s="1"/>
  <c r="W91" i="33" s="1"/>
  <c r="S94" i="33" s="1"/>
  <c r="W94" i="33" s="1"/>
  <c r="S98" i="33" s="1"/>
  <c r="W98" i="33" s="1"/>
  <c r="S102" i="33" s="1"/>
  <c r="W102" i="33" s="1"/>
  <c r="S105" i="33" s="1"/>
  <c r="W105" i="33" s="1"/>
  <c r="S107" i="33" s="1"/>
  <c r="W107" i="33" s="1"/>
  <c r="S108" i="33" s="1"/>
  <c r="W108" i="33" s="1"/>
  <c r="S109" i="33" s="1"/>
  <c r="W109" i="33" s="1"/>
  <c r="S111" i="33" s="1"/>
  <c r="W111" i="33" s="1"/>
  <c r="S113" i="33" s="1"/>
  <c r="W113" i="33" s="1"/>
  <c r="S115" i="33" s="1"/>
  <c r="W115" i="33" s="1"/>
  <c r="S117" i="33" s="1"/>
  <c r="W117" i="33" s="1"/>
  <c r="S119" i="33" s="1"/>
  <c r="W119" i="33" s="1"/>
  <c r="S122" i="33" s="1"/>
  <c r="W122" i="33" s="1"/>
  <c r="S124" i="33" s="1"/>
  <c r="W124" i="33" s="1"/>
  <c r="S126" i="33" s="1"/>
  <c r="W126" i="33" s="1"/>
  <c r="S128" i="33" s="1"/>
  <c r="W128" i="33" s="1"/>
  <c r="S130" i="33" s="1"/>
  <c r="W130" i="33" s="1"/>
  <c r="S132" i="33" s="1"/>
  <c r="W132" i="33" s="1"/>
  <c r="S134" i="33" s="1"/>
  <c r="W134" i="33" s="1"/>
  <c r="S136" i="33" s="1"/>
  <c r="W136" i="33" s="1"/>
  <c r="S138" i="33" s="1"/>
  <c r="W138" i="33" s="1"/>
  <c r="S140" i="33" s="1"/>
  <c r="W140" i="33" s="1"/>
  <c r="S143" i="33" s="1"/>
  <c r="W143" i="33" s="1"/>
  <c r="S145" i="33" s="1"/>
  <c r="S84" i="33"/>
  <c r="W84" i="33" s="1"/>
  <c r="W145" i="33"/>
  <c r="S147" i="33" s="1"/>
  <c r="W147" i="33" s="1"/>
  <c r="O28" i="34"/>
  <c r="N30" i="34" l="1"/>
  <c r="O30" i="34"/>
  <c r="E14" i="38" s="1"/>
  <c r="F16" i="37" s="1"/>
  <c r="E14" i="45" s="1"/>
  <c r="E22" i="46"/>
  <c r="E25" i="46" s="1"/>
  <c r="AI3" i="36"/>
  <c r="O37" i="34"/>
  <c r="O22" i="34"/>
  <c r="O25" i="34" s="1"/>
  <c r="N36" i="34" l="1"/>
  <c r="AH3" i="36"/>
  <c r="E13" i="38"/>
  <c r="F15" i="37" l="1"/>
  <c r="E13" i="45" s="1"/>
  <c r="O36" i="34"/>
  <c r="O38" i="34" s="1"/>
  <c r="E16" i="38" s="1"/>
  <c r="F18" i="37" s="1"/>
  <c r="N38" i="34"/>
  <c r="W161" i="33"/>
  <c r="O32" i="34"/>
  <c r="O34" i="34" s="1"/>
  <c r="N34" i="34"/>
  <c r="E15" i="38" l="1"/>
  <c r="F17" i="37" l="1"/>
  <c r="K24" i="37"/>
  <c r="I24" i="37"/>
  <c r="E15" i="45" l="1"/>
  <c r="N16" i="34"/>
  <c r="N19" i="34" s="1"/>
  <c r="O16" i="34"/>
  <c r="O19" i="34"/>
  <c r="O13" i="34" s="1"/>
  <c r="G4" i="34" s="1"/>
  <c r="E12" i="38"/>
  <c r="F14" i="37"/>
  <c r="E12" i="45" s="1"/>
  <c r="F19" i="45" s="1"/>
  <c r="E19" i="45" s="1"/>
  <c r="G12" i="37"/>
  <c r="I12" i="37"/>
  <c r="D3" i="36"/>
  <c r="G4" i="37" l="1"/>
  <c r="K12" i="37"/>
  <c r="E16" i="46"/>
  <c r="E19" i="46" s="1"/>
  <c r="E27" i="46" s="1"/>
  <c r="G5" i="38"/>
  <c r="H5" i="38" s="1"/>
  <c r="E19" i="38"/>
  <c r="I4" i="34"/>
  <c r="K4" i="34"/>
  <c r="I4" i="37" l="1"/>
  <c r="K4"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Rico S. Orot</author>
    <author>Thonie Fernandez</author>
  </authors>
  <commentList>
    <comment ref="D44" authorId="0" shapeId="0" xr:uid="{BCCEC6F5-E956-4BDB-91D2-612FE09C8CBF}">
      <text>
        <r>
          <rPr>
            <sz val="11"/>
            <color theme="1"/>
            <rFont val="Aptos Narrow"/>
            <family val="2"/>
            <scheme val="minor"/>
          </rPr>
          <t>Rico S. Orot:
Kape Kalakal</t>
        </r>
      </text>
    </comment>
    <comment ref="D101" authorId="1" shapeId="0" xr:uid="{23184918-CAC2-4C19-90A0-C4DBDF8224D0}">
      <text>
        <r>
          <rPr>
            <sz val="11"/>
            <color theme="1"/>
            <rFont val="Aptos Narrow"/>
            <family val="2"/>
            <scheme val="minor"/>
          </rPr>
          <t>Thonie Fernandez:
No certificate included</t>
        </r>
      </text>
    </comment>
  </commentList>
</comments>
</file>

<file path=xl/sharedStrings.xml><?xml version="1.0" encoding="utf-8"?>
<sst xmlns="http://schemas.openxmlformats.org/spreadsheetml/2006/main" count="1881" uniqueCount="1036">
  <si>
    <t>Not Started Yet</t>
  </si>
  <si>
    <t>Completed</t>
  </si>
  <si>
    <t>In Progress</t>
  </si>
  <si>
    <t>Ranking</t>
  </si>
  <si>
    <t>Not Applicable</t>
  </si>
  <si>
    <t>Failed</t>
  </si>
  <si>
    <t>Strongly Disagree</t>
  </si>
  <si>
    <t>Not yet capable</t>
  </si>
  <si>
    <t>Disagree</t>
  </si>
  <si>
    <t>Some capability and significant improvement</t>
  </si>
  <si>
    <t>Passed</t>
  </si>
  <si>
    <t>Neutral</t>
  </si>
  <si>
    <t>Some capability and and needs improvement</t>
  </si>
  <si>
    <t>Agree</t>
  </si>
  <si>
    <t>Capable</t>
  </si>
  <si>
    <t>Strongly Agree</t>
  </si>
  <si>
    <t>Expert</t>
  </si>
  <si>
    <t>Proficiency Level</t>
  </si>
  <si>
    <t>Limited</t>
  </si>
  <si>
    <t>L</t>
  </si>
  <si>
    <t>Limited, demonstrated a little knowledge and usually exploring the content</t>
  </si>
  <si>
    <t>Developing</t>
  </si>
  <si>
    <t>D</t>
  </si>
  <si>
    <t xml:space="preserve">Developing, demonstrated a know;edge in early stages </t>
  </si>
  <si>
    <t>Established</t>
  </si>
  <si>
    <t>E</t>
  </si>
  <si>
    <t>Established, demonstrated a better and the scores top on this category</t>
  </si>
  <si>
    <t>Superior</t>
  </si>
  <si>
    <t>S</t>
  </si>
  <si>
    <t>Superior, demonstrated knowledge better than almost all other learners</t>
  </si>
  <si>
    <t>SSCGI Bootcamper Performance Evaluation Result Summary</t>
  </si>
  <si>
    <t>ADJECTIVAL RATE</t>
  </si>
  <si>
    <t>RECOMMENDATION</t>
  </si>
  <si>
    <t>RATIONALE</t>
  </si>
  <si>
    <t>Employee Name :</t>
  </si>
  <si>
    <t>Department / Group :</t>
  </si>
  <si>
    <r>
      <rPr>
        <sz val="10"/>
        <color rgb="FF000000"/>
        <rFont val="Arial"/>
        <family val="2"/>
      </rPr>
      <t xml:space="preserve">With his </t>
    </r>
    <r>
      <rPr>
        <b/>
        <sz val="10"/>
        <color rgb="FF000000"/>
        <rFont val="Arial"/>
        <family val="2"/>
      </rPr>
      <t>92%</t>
    </r>
    <r>
      <rPr>
        <sz val="10"/>
        <color rgb="FF000000"/>
        <rFont val="Arial"/>
        <family val="2"/>
      </rPr>
      <t xml:space="preserve"> demonstrated a strong alignment with the core competencies required for a </t>
    </r>
    <r>
      <rPr>
        <b/>
        <sz val="10"/>
        <color rgb="FF000000"/>
        <rFont val="Arial"/>
        <family val="2"/>
      </rPr>
      <t>Systems Development (SysDev) role</t>
    </r>
    <r>
      <rPr>
        <sz val="10"/>
        <color rgb="FF000000"/>
        <rFont val="Arial"/>
        <family val="2"/>
      </rPr>
      <t>. His exceptional technical proficiency, problem-solving ability, and collaboration skills make him a standout candidate. His consistent high scores across multiple evaluation criteria, including technical skills (24%), problem-solving (24%), and collaboration (14%), showcase his readiness for complex development tasks and teamwork environments.</t>
    </r>
  </si>
  <si>
    <t>Nickname :</t>
  </si>
  <si>
    <t>Date Attended :</t>
  </si>
  <si>
    <t>Covered Period :</t>
  </si>
  <si>
    <t>Project Manager :</t>
  </si>
  <si>
    <t>FEEDBACK FORM</t>
  </si>
  <si>
    <t>TARGET</t>
  </si>
  <si>
    <t>ACTUAL</t>
  </si>
  <si>
    <t>STRENGTH</t>
  </si>
  <si>
    <t>FOR IMPROVEMENTS</t>
  </si>
  <si>
    <t xml:space="preserve">REFLECTIONS   </t>
  </si>
  <si>
    <t>Bootcamper's approach on what, why or how to maintain the strength and improve areas identified.</t>
  </si>
  <si>
    <t>A</t>
  </si>
  <si>
    <t>TECHNICAL SKILLS</t>
  </si>
  <si>
    <t>He demontrates a good performance in technical areas in the field of data structure and algorithms and a logical or systemative problem-solving process. He has an understaing in best practices and error handling</t>
  </si>
  <si>
    <r>
      <rPr>
        <b/>
        <sz val="11"/>
        <color rgb="FF000000"/>
        <rFont val="Arial"/>
        <family val="2"/>
      </rPr>
      <t xml:space="preserve">Strength
</t>
    </r>
    <r>
      <rPr>
        <sz val="11"/>
        <color rgb="FF000000"/>
        <rFont val="Arial"/>
        <family val="2"/>
      </rPr>
      <t xml:space="preserve">To maintain my strength, I’ll continue building on my technical competence by staying up to date with industry trends and deepening your knowledge by continuously studying the concepts I am good at. Keep completing tasks consistently, focus on refining problemsolving abilities, and take time to review and improve my work. Engaging in ongoing learning and applying new concepts will also help me stay sharp.
</t>
    </r>
    <r>
      <rPr>
        <b/>
        <sz val="11"/>
        <color rgb="FF000000"/>
        <rFont val="Arial"/>
        <family val="2"/>
      </rPr>
      <t xml:space="preserve">• Areas to improve
</t>
    </r>
    <r>
      <rPr>
        <sz val="11"/>
        <color rgb="FF000000"/>
        <rFont val="Arial"/>
        <family val="2"/>
      </rPr>
      <t>To improve my weaknesses, I'll start actively participating in team discussions and 
collaborating with others. Look for opportunities to contribute ideas or ask questions to show engagement. To enhance my proactivity, I take the initiative to seek out new learning opportunities, such as exploring new tools, and sharing insights with the team. By focusing on these areas, I'll be able to build stronger teamwork skills and enhance my overall performance.</t>
    </r>
  </si>
  <si>
    <t>B</t>
  </si>
  <si>
    <t>PROBLEM-SOLVING SKILLS</t>
  </si>
  <si>
    <t>He understands user requirements and deliver functional, reliable feautres with enhanced UI/UX scoring  near perfect of 24% out of 25%</t>
  </si>
  <si>
    <t xml:space="preserve">He needs slight improvement in UI/UX or front-end applications. </t>
  </si>
  <si>
    <t>C</t>
  </si>
  <si>
    <t>COMMUNICATION SKILLS</t>
  </si>
  <si>
    <t>Active in class participation can explain the logic of his code.</t>
  </si>
  <si>
    <t>While proficient (3% out of 4%), further attention to clean code standards, such as consistent formatting, commenting, and optimization techniques, would strengthen the overall output quality.</t>
  </si>
  <si>
    <t>COLLABORATION AND PROFESSIONALISM</t>
  </si>
  <si>
    <t>He shows collaboration and camaraderie by teaching and sharing his knowledge to his peers</t>
  </si>
  <si>
    <t>FORMATIVE ASSESSMENT</t>
  </si>
  <si>
    <t xml:space="preserve">HRMFORM-021-04-REV000 </t>
  </si>
  <si>
    <t>PERFORMANCE EVALUATION REPORT</t>
  </si>
  <si>
    <t>Employee Name:</t>
  </si>
  <si>
    <t>Type of Evaluation:</t>
  </si>
  <si>
    <t>Position Title:</t>
  </si>
  <si>
    <t>þ</t>
  </si>
  <si>
    <t>Regularization</t>
  </si>
  <si>
    <t>Department:</t>
  </si>
  <si>
    <t>o</t>
  </si>
  <si>
    <t>Annual</t>
  </si>
  <si>
    <t xml:space="preserve">Evaluation Period: </t>
  </si>
  <si>
    <t>Promotion</t>
  </si>
  <si>
    <t>Warning</t>
  </si>
  <si>
    <t>Extension of Probationary Contract</t>
  </si>
  <si>
    <t>SCORING PER CATEGORY:</t>
  </si>
  <si>
    <t>PERFORMANCE REVIEW</t>
  </si>
  <si>
    <t>Scoring</t>
  </si>
  <si>
    <r>
      <t>DESCRIPTION:</t>
    </r>
    <r>
      <rPr>
        <sz val="11"/>
        <color rgb="FF000000"/>
        <rFont val="Aptos Narrow"/>
        <family val="2"/>
        <scheme val="minor"/>
      </rPr>
      <t xml:space="preserve"> </t>
    </r>
  </si>
  <si>
    <t>Project Execution</t>
  </si>
  <si>
    <t>Meets the baseline expectations.</t>
  </si>
  <si>
    <t>Compliance</t>
  </si>
  <si>
    <t>Efficiency and Organizational Development</t>
  </si>
  <si>
    <t>Total</t>
  </si>
  <si>
    <t>BEHAVIORAL EVALUATION</t>
  </si>
  <si>
    <t>INTERPRETATION:</t>
  </si>
  <si>
    <t>Basic Job Functions</t>
  </si>
  <si>
    <t>Professional &amp; Customer Service</t>
  </si>
  <si>
    <t>Managerial Function</t>
  </si>
  <si>
    <t>FINAL RATING</t>
  </si>
  <si>
    <t xml:space="preserve">OTHER RECOMMENDING DETAILS: </t>
  </si>
  <si>
    <t>VERIFIED BY:</t>
  </si>
  <si>
    <t>Current Employment Status:</t>
  </si>
  <si>
    <t>Trainee</t>
  </si>
  <si>
    <r>
      <t xml:space="preserve">Percentage Increase </t>
    </r>
    <r>
      <rPr>
        <b/>
        <i/>
        <sz val="10"/>
        <color rgb="FF000000"/>
        <rFont val="Aptos Narrow"/>
        <family val="2"/>
        <scheme val="minor"/>
      </rPr>
      <t>(if any)</t>
    </r>
    <r>
      <rPr>
        <b/>
        <sz val="11"/>
        <color rgb="FF000000"/>
        <rFont val="Aptos Narrow"/>
        <family val="2"/>
        <scheme val="minor"/>
      </rPr>
      <t>:</t>
    </r>
  </si>
  <si>
    <t>Rate Based on Evaluation:</t>
  </si>
  <si>
    <t>MS. RUBYLYN Q. MALUBAY</t>
  </si>
  <si>
    <t xml:space="preserve">Current Job Title:                             </t>
  </si>
  <si>
    <t>Software Developer I</t>
  </si>
  <si>
    <t>Human Resources Manager</t>
  </si>
  <si>
    <t>Last Salary Adjustment:</t>
  </si>
  <si>
    <t>NOTED BY:</t>
  </si>
  <si>
    <t>MR. GABRIEL MCJOHN MAMARIL</t>
  </si>
  <si>
    <t>Manager - Research and Develoipment</t>
  </si>
  <si>
    <t>MS. FLORDELIZA R. FERNANDEZ</t>
  </si>
  <si>
    <t>Technical Trainer - Consultant</t>
  </si>
  <si>
    <t>APPROVED BY:</t>
  </si>
  <si>
    <t>MS. DIANNE CAROL A. DE LEON</t>
  </si>
  <si>
    <t>Vice President – Technical and Business Operation</t>
  </si>
  <si>
    <t>To the Employee: Signature indicates receipt of the evaluation</t>
  </si>
  <si>
    <t>RECEIVED BY:</t>
  </si>
  <si>
    <t>MARQUILLERO, RUSELL JOHN</t>
  </si>
  <si>
    <t>Employee Name</t>
  </si>
  <si>
    <t>EMPLOYEE PERFORMANCE EVALUATION RESULT SUMMARY</t>
  </si>
  <si>
    <t> </t>
  </si>
  <si>
    <t>DEPARTMENT / GROUP</t>
  </si>
  <si>
    <t>:</t>
  </si>
  <si>
    <t>RESEARCH AND DEVELOPMENT</t>
  </si>
  <si>
    <t>INTERPRETATION</t>
  </si>
  <si>
    <t>EMMPLOYEE NAME</t>
  </si>
  <si>
    <t>DATE HIRED</t>
  </si>
  <si>
    <t>COVERED PERIOD</t>
  </si>
  <si>
    <t>REGULARIZATION</t>
  </si>
  <si>
    <t>SUPERVISOR</t>
  </si>
  <si>
    <t>FLORDELIZA FERNANDEZ</t>
  </si>
  <si>
    <t>FEEBACK FORM</t>
  </si>
  <si>
    <t>EMPLOYEE ENGAGEMENT</t>
  </si>
  <si>
    <t>PRODUCTIVITY</t>
  </si>
  <si>
    <t>WORK QUALITY</t>
  </si>
  <si>
    <t>CUSTOMER SATISFACTION / SERVICE LEVEL COMMITMENT</t>
  </si>
  <si>
    <t>SELF IMPROVEMENT (TRAININGS)</t>
  </si>
  <si>
    <t>F</t>
  </si>
  <si>
    <t>COMPLIANCE</t>
  </si>
  <si>
    <t>G</t>
  </si>
  <si>
    <t>ETHICS AND VALUES</t>
  </si>
  <si>
    <t>I hereby certify that I have been informed of my performance rankings. The rankings and feedback provided in this review have been thoroughly discussed with me by my supervisor, ensuring that I fully understand the evaluation results. I also acknowledge that I have successfully completed the bootcamp training. Additionally, I have reviewed and provided my own comments on the evaluation.</t>
  </si>
  <si>
    <t>EMPLOYEE ACKNOWLEDGEMENT</t>
  </si>
  <si>
    <t>SUPERVISOR ACKNOWLEDGEMENT</t>
  </si>
  <si>
    <t>Signature:</t>
  </si>
  <si>
    <t>Name:</t>
  </si>
  <si>
    <t>Date:</t>
  </si>
  <si>
    <t>PERFORMANCE EVALUATION RESULT SUMMARY</t>
  </si>
  <si>
    <t>Name</t>
  </si>
  <si>
    <t>RUSELL JOHN MARQUILLERA</t>
  </si>
  <si>
    <t>RATING</t>
  </si>
  <si>
    <t>Position</t>
  </si>
  <si>
    <t>BOOTCAMPER</t>
  </si>
  <si>
    <t>Division/Group</t>
  </si>
  <si>
    <t>SSCGI BOOTCAMP</t>
  </si>
  <si>
    <t>Covered Period</t>
  </si>
  <si>
    <t>AUGUST - FEBRUARY 2026</t>
  </si>
  <si>
    <t>Endorsed Department</t>
  </si>
  <si>
    <t>Trainer</t>
  </si>
  <si>
    <t>BOOTCAMPER SCORECARD</t>
  </si>
  <si>
    <t>CRITERIA</t>
  </si>
  <si>
    <t xml:space="preserve">D </t>
  </si>
  <si>
    <t>CUSTOMER SATISFACTION/SERVICE LEVEL COMMITMENT</t>
  </si>
  <si>
    <t>ENDORSED TRAINEE SCORECARD</t>
  </si>
  <si>
    <t xml:space="preserve">E </t>
  </si>
  <si>
    <t>EMPLOYEE PERFORMANCE EVALUATION FORM</t>
  </si>
  <si>
    <t>ADJECTVAL RATING</t>
  </si>
  <si>
    <t>EMPLOYEE NAME:</t>
  </si>
  <si>
    <t>MARQUILLERO, JOHN RUSELL</t>
  </si>
  <si>
    <t>DEPARTMENT:</t>
  </si>
  <si>
    <t>DATE HIRED:</t>
  </si>
  <si>
    <t xml:space="preserve">PROBATIONARY </t>
  </si>
  <si>
    <t>DESIGNATION:</t>
  </si>
  <si>
    <t>TRAINEE</t>
  </si>
  <si>
    <t>DATE REVIEWED</t>
  </si>
  <si>
    <t>MANAGER/SUPERVISOR:</t>
  </si>
  <si>
    <t>ITEM #</t>
  </si>
  <si>
    <t>GOALS / TARGETS</t>
  </si>
  <si>
    <t>BASIS FOR SCORING</t>
  </si>
  <si>
    <t>RATE MATRIX</t>
  </si>
  <si>
    <t>WEIGHT</t>
  </si>
  <si>
    <t>MAX
SCORE</t>
  </si>
  <si>
    <t>TOTAL %
SCORE</t>
  </si>
  <si>
    <t xml:space="preserve">FUNCTIONAL AREA </t>
  </si>
  <si>
    <t>EMPLOYEE ENGAGEMENT [25%]</t>
  </si>
  <si>
    <t>COMPUTED %</t>
  </si>
  <si>
    <t xml:space="preserve">Tasks completed  as stated in the WAS </t>
  </si>
  <si>
    <t xml:space="preserve">Taskes handled should be completed based on the weekly assigned activies </t>
  </si>
  <si>
    <r>
      <t>Tasks completed/submitted and checked by the client/supervisor.</t>
    </r>
    <r>
      <rPr>
        <b/>
        <sz val="11"/>
        <rFont val="Arial"/>
        <family val="2"/>
      </rPr>
      <t xml:space="preserve">
Basis is the CIC and Inia Projects</t>
    </r>
  </si>
  <si>
    <r>
      <t>- Rate to be based on the following project delays percentage (%)
0% = 5</t>
    </r>
    <r>
      <rPr>
        <u/>
        <sz val="11"/>
        <rFont val="Arial"/>
        <family val="2"/>
      </rPr>
      <t xml:space="preserve">
&lt;</t>
    </r>
    <r>
      <rPr>
        <sz val="11"/>
        <rFont val="Arial"/>
        <family val="2"/>
      </rPr>
      <t xml:space="preserve"> </t>
    </r>
    <r>
      <rPr>
        <u/>
        <sz val="11"/>
        <rFont val="Arial"/>
        <family val="2"/>
      </rPr>
      <t>2</t>
    </r>
    <r>
      <rPr>
        <sz val="11"/>
        <rFont val="Arial"/>
        <family val="2"/>
      </rPr>
      <t>0% = 4</t>
    </r>
    <r>
      <rPr>
        <u/>
        <sz val="11"/>
        <rFont val="Arial"/>
        <family val="2"/>
      </rPr>
      <t xml:space="preserve">
&lt;</t>
    </r>
    <r>
      <rPr>
        <sz val="11"/>
        <rFont val="Arial"/>
        <family val="2"/>
      </rPr>
      <t xml:space="preserve"> 40% = 3</t>
    </r>
    <r>
      <rPr>
        <u/>
        <sz val="11"/>
        <rFont val="Arial"/>
        <family val="2"/>
      </rPr>
      <t xml:space="preserve">
&lt;</t>
    </r>
    <r>
      <rPr>
        <sz val="11"/>
        <rFont val="Arial"/>
        <family val="2"/>
      </rPr>
      <t xml:space="preserve"> 60% = 2</t>
    </r>
    <r>
      <rPr>
        <u/>
        <sz val="11"/>
        <rFont val="Arial"/>
        <family val="2"/>
      </rPr>
      <t xml:space="preserve">
&lt; </t>
    </r>
    <r>
      <rPr>
        <sz val="11"/>
        <rFont val="Arial"/>
        <family val="2"/>
      </rPr>
      <t>80% = 1</t>
    </r>
  </si>
  <si>
    <t>Milestones Completed on Time</t>
  </si>
  <si>
    <t>Project Milestones (Terms of Payment) should be completed as breakdown/describe in the approved project schedules at the commencement of the project.</t>
  </si>
  <si>
    <r>
      <t>- Approved Project Schedule with the Customer w/ the project milestone schedule indicators;</t>
    </r>
    <r>
      <rPr>
        <b/>
        <sz val="11"/>
        <rFont val="Arial"/>
        <family val="2"/>
      </rPr>
      <t xml:space="preserve">
Basis is the CIC and Inia Projects</t>
    </r>
  </si>
  <si>
    <t>- Rate to be based on the following project delays percentage (%)
0% = 5
&lt; 20% = 4
&lt; 40% = 3
&lt; 60% = 2
&lt; 80% = 1</t>
  </si>
  <si>
    <t>Number of Customer Complaints</t>
  </si>
  <si>
    <t>Avoid any customer escalation and/or complaints. Project team should be able to manage, mitigate any issues before it gets escalated or before it gets complained</t>
  </si>
  <si>
    <r>
      <t>- Number of events where a complaint / escalation was received from a client either in any form of communication. Issue Defect / Tickets is excluded.</t>
    </r>
    <r>
      <rPr>
        <b/>
        <sz val="11"/>
        <rFont val="Arial"/>
        <family val="2"/>
      </rPr>
      <t xml:space="preserve">
Basis is the CIC and Inia Projects</t>
    </r>
  </si>
  <si>
    <t>- Ratings shall be based on the following number of events were request for project rebaseline has been requested;
0 Event = 5
1st to 2nd Event = 4
3rd to 4th Event = 3
4th to 5th Event = 2
6th &amp; up Event = 1</t>
  </si>
  <si>
    <t>TOTAL</t>
  </si>
  <si>
    <t>PRODUCTIVITY [20%]</t>
  </si>
  <si>
    <t>Number of Action Listed vs. Completed</t>
  </si>
  <si>
    <t xml:space="preserve">To ensure members time are well spent </t>
  </si>
  <si>
    <r>
      <t>- Basis shall be the task list score card (refer to members score card sheet) and weekly tasks list calendar (refer to members task list calendar)</t>
    </r>
    <r>
      <rPr>
        <b/>
        <sz val="11"/>
        <rFont val="Arial"/>
        <family val="2"/>
      </rPr>
      <t xml:space="preserve">
Basis is the CIC and Inia Projects</t>
    </r>
  </si>
  <si>
    <t>Based on actual computed score. Rate shall be based on the following matrix;
100% = 5
&gt;80% = 4
&gt;60% = 3
&gt;40% = 2
&gt;20% = 1
10% = 0</t>
  </si>
  <si>
    <t>WORK OUTPUT QUALITY [15%]</t>
  </si>
  <si>
    <t>Number of Errors and/or Bug reported</t>
  </si>
  <si>
    <t>To ensure quality of members output is given priority</t>
  </si>
  <si>
    <r>
      <t>- Basis shall be the Issue register produced during the SIT and/or UAT and Production Phase of the project covering the warranty Phase</t>
    </r>
    <r>
      <rPr>
        <b/>
        <sz val="11"/>
        <rFont val="Arial"/>
        <family val="2"/>
      </rPr>
      <t xml:space="preserve">
Basis is the CIC and Inia Projects IR</t>
    </r>
  </si>
  <si>
    <r>
      <t>Based on % errors or bugs/Number of Test Cases
&gt; 30% = 1</t>
    </r>
    <r>
      <rPr>
        <u/>
        <sz val="11"/>
        <rFont val="Arial"/>
        <family val="2"/>
      </rPr>
      <t xml:space="preserve">
&lt; </t>
    </r>
    <r>
      <rPr>
        <sz val="11"/>
        <rFont val="Arial"/>
        <family val="2"/>
      </rPr>
      <t>30% = 2</t>
    </r>
    <r>
      <rPr>
        <u/>
        <sz val="11"/>
        <rFont val="Arial"/>
        <family val="2"/>
      </rPr>
      <t xml:space="preserve">
&lt;</t>
    </r>
    <r>
      <rPr>
        <sz val="11"/>
        <rFont val="Arial"/>
        <family val="2"/>
      </rPr>
      <t xml:space="preserve"> 25% = 3</t>
    </r>
    <r>
      <rPr>
        <u/>
        <sz val="11"/>
        <rFont val="Arial"/>
        <family val="2"/>
      </rPr>
      <t xml:space="preserve">
&lt;</t>
    </r>
    <r>
      <rPr>
        <sz val="11"/>
        <rFont val="Arial"/>
        <family val="2"/>
      </rPr>
      <t xml:space="preserve"> 20% = 4</t>
    </r>
    <r>
      <rPr>
        <u/>
        <sz val="11"/>
        <rFont val="Arial"/>
        <family val="2"/>
      </rPr>
      <t xml:space="preserve">
&lt;</t>
    </r>
    <r>
      <rPr>
        <sz val="11"/>
        <rFont val="Arial"/>
        <family val="2"/>
      </rPr>
      <t>10% =  5</t>
    </r>
  </si>
  <si>
    <t>CUSTOMER SATISFACTION / SERVICE LEVEL COMMITMENT [15%]</t>
  </si>
  <si>
    <t>Number of Tickets vs. Resolved</t>
  </si>
  <si>
    <t>To ensure that service level commitment is prioritize and given importance</t>
  </si>
  <si>
    <t>- Basis is the CIC and Inia Projects IR Report</t>
  </si>
  <si>
    <r>
      <t>Based on actual computed score. Rate shall be based on the following matrix;
100% = 5</t>
    </r>
    <r>
      <rPr>
        <u/>
        <sz val="11"/>
        <rFont val="Arial"/>
        <family val="2"/>
      </rPr>
      <t xml:space="preserve">
&gt;</t>
    </r>
    <r>
      <rPr>
        <sz val="11"/>
        <rFont val="Arial"/>
        <family val="2"/>
      </rPr>
      <t xml:space="preserve"> 80% = 4</t>
    </r>
    <r>
      <rPr>
        <u/>
        <sz val="11"/>
        <rFont val="Arial"/>
        <family val="2"/>
      </rPr>
      <t xml:space="preserve">
&gt;</t>
    </r>
    <r>
      <rPr>
        <sz val="11"/>
        <rFont val="Arial"/>
        <family val="2"/>
      </rPr>
      <t xml:space="preserve"> 60% = 3</t>
    </r>
    <r>
      <rPr>
        <u/>
        <sz val="11"/>
        <rFont val="Arial"/>
        <family val="2"/>
      </rPr>
      <t xml:space="preserve">
&gt;</t>
    </r>
    <r>
      <rPr>
        <sz val="11"/>
        <rFont val="Arial"/>
        <family val="2"/>
      </rPr>
      <t xml:space="preserve"> 40% = 2</t>
    </r>
    <r>
      <rPr>
        <u/>
        <sz val="11"/>
        <rFont val="Arial"/>
        <family val="2"/>
      </rPr>
      <t xml:space="preserve">
&gt; </t>
    </r>
    <r>
      <rPr>
        <sz val="11"/>
        <rFont val="Arial"/>
        <family val="2"/>
      </rPr>
      <t>20% = 1</t>
    </r>
  </si>
  <si>
    <t>Abandon Rate</t>
  </si>
  <si>
    <t>To ensure that all reported  tickets are attended</t>
  </si>
  <si>
    <r>
      <t>Based on % computed over total # of assigned tickets. Rate to be based on the ff percentage (%)
&gt; 60%  =1</t>
    </r>
    <r>
      <rPr>
        <u/>
        <sz val="11"/>
        <rFont val="Arial"/>
        <family val="2"/>
      </rPr>
      <t xml:space="preserve">
&lt;</t>
    </r>
    <r>
      <rPr>
        <sz val="11"/>
        <rFont val="Arial"/>
        <family val="2"/>
      </rPr>
      <t xml:space="preserve"> 60% = 2</t>
    </r>
    <r>
      <rPr>
        <u/>
        <sz val="11"/>
        <rFont val="Arial"/>
        <family val="2"/>
      </rPr>
      <t xml:space="preserve">
&lt; </t>
    </r>
    <r>
      <rPr>
        <sz val="11"/>
        <rFont val="Arial"/>
        <family val="2"/>
      </rPr>
      <t>50% = 3</t>
    </r>
    <r>
      <rPr>
        <u/>
        <sz val="11"/>
        <rFont val="Arial"/>
        <family val="2"/>
      </rPr>
      <t xml:space="preserve">
&lt;</t>
    </r>
    <r>
      <rPr>
        <sz val="11"/>
        <rFont val="Arial"/>
        <family val="2"/>
      </rPr>
      <t xml:space="preserve"> 25% = 4</t>
    </r>
    <r>
      <rPr>
        <u/>
        <sz val="11"/>
        <rFont val="Arial"/>
        <family val="2"/>
      </rPr>
      <t xml:space="preserve">
&lt; </t>
    </r>
    <r>
      <rPr>
        <sz val="11"/>
        <rFont val="Arial"/>
        <family val="2"/>
      </rPr>
      <t>10% =  5</t>
    </r>
  </si>
  <si>
    <t>SELF IMPROVEMENT / TRAININGS [5%]</t>
  </si>
  <si>
    <t>Number Trainings Hours vs. Planned</t>
  </si>
  <si>
    <t>To promote members development and help members build on strengths and address deficiencies identified in their performance reviews. To encourage members discover areas in which they could use additional educational opportunities and support.</t>
  </si>
  <si>
    <t>- Based on total hours of training / sessions / seminars required vs actual attended
[Based on # of trainings attended/Trainings scheduled]</t>
  </si>
  <si>
    <t>Based on actual computed score. Rate shall be based on the following matrix;
100% = 5
&gt;80% = 4
&gt;60% = 3
&gt;40% = 2
&gt;20% = 1</t>
  </si>
  <si>
    <t>COMPLIANCE [5%]</t>
  </si>
  <si>
    <t>Attendance</t>
  </si>
  <si>
    <t>To ensure that members are present and arriving at work on time and in accordance with the policies and procedure. This promotes and ensure business operation continuity.</t>
  </si>
  <si>
    <t>Leaves are filed according to policy</t>
  </si>
  <si>
    <t>0 infraction = 5
1 infraction = 4
&gt; 1 infraction = 1</t>
  </si>
  <si>
    <t>Policy</t>
  </si>
  <si>
    <t>To ensure that employees and the organization as a whole abide by internal rules of conduct and external rules and regulations.</t>
  </si>
  <si>
    <t>No recorded policy violation</t>
  </si>
  <si>
    <t>MAX SCORE</t>
  </si>
  <si>
    <t>BEHAVIORAL</t>
  </si>
  <si>
    <t>Interpersonal Relations / Behavior</t>
  </si>
  <si>
    <t>- Score based on the result of FORM B</t>
  </si>
  <si>
    <t>Rate shall be based on the actual computed score in FORM B</t>
  </si>
  <si>
    <t>GRAND TOTAL</t>
  </si>
  <si>
    <t xml:space="preserve"> </t>
  </si>
  <si>
    <t>PERFORMANCE REVIEW DISCUSSION AND SIGN OFF</t>
  </si>
  <si>
    <t>HR REPRESENTATIVE</t>
  </si>
  <si>
    <t>Signature</t>
  </si>
  <si>
    <t>Date</t>
  </si>
  <si>
    <t>Name and Signature</t>
  </si>
  <si>
    <t>COMPUTED</t>
  </si>
  <si>
    <t>Actively participated in team activities, showing strong collaboration and problem-solving skills.</t>
  </si>
  <si>
    <t>While generally strong, attention to detail can be improved to ensure error-free work in every task.</t>
  </si>
  <si>
    <t>Demonstrated good leadership qualities by leading by example in group activities.</t>
  </si>
  <si>
    <t>While deadlines are met, further engagement in offering assistance and feedback could improve customer service levels and teamwork.</t>
  </si>
  <si>
    <t>I  hereby certify that I have been advised of my performance rankings. The rankings and comments in this review have been discussed and explained to me by my supervisor. My own comments are as follows:</t>
  </si>
  <si>
    <t>Department</t>
  </si>
  <si>
    <t>Date Attended</t>
  </si>
  <si>
    <t>Date Edorsed/Target Joined the Team</t>
  </si>
  <si>
    <t>Trainer/Facilitator</t>
  </si>
  <si>
    <t>#</t>
  </si>
  <si>
    <t>GOALS/TARGET</t>
  </si>
  <si>
    <t>BASIS SCORING</t>
  </si>
  <si>
    <t>MAX</t>
  </si>
  <si>
    <t>(%)</t>
  </si>
  <si>
    <t>SCORE</t>
  </si>
  <si>
    <t>Active participation in team activities and course discussion</t>
  </si>
  <si>
    <t>Teamwork and Collaboration</t>
  </si>
  <si>
    <t>100% participation in team activities and problem-solving</t>
  </si>
  <si>
    <t>Rate based on active participation in team discussion, collaboration and problem-solving during lessons</t>
  </si>
  <si>
    <t>Based on actual computed score. Rate shall be based on the following matrix:
100% = 5 
 &gt;80% = 4 
 &gt;60% = 3 
 &gt;40% = 2 
 &gt;20% = 1 
 10% = 0</t>
  </si>
  <si>
    <t>Problem-solving and Understanding the Requirements</t>
  </si>
  <si>
    <t>Takes ownership of tasks and contributes innovative solutions</t>
  </si>
  <si>
    <t>Evaluate proactive problem-solving abilities and ownership shown in quizzes and assignments.</t>
  </si>
  <si>
    <t>Communication Skills</t>
  </si>
  <si>
    <t>Clear and concise communication with team members</t>
  </si>
  <si>
    <t>Rate communication clarity in discussions, recitations and presentations.</t>
  </si>
  <si>
    <t>Team Leadership</t>
  </si>
  <si>
    <t>Lead by example in group activities</t>
  </si>
  <si>
    <t>Rate the leadership qualities during team activities and group presentations</t>
  </si>
  <si>
    <t>Meet deadlines and deliver high-quality work on time</t>
  </si>
  <si>
    <t>Efficiency and Output Quality</t>
  </si>
  <si>
    <t>High-qualiy, accurate and timely output of work.</t>
  </si>
  <si>
    <t>Rate based on timely submissions</t>
  </si>
  <si>
    <t xml:space="preserve">Based on actual computed score. Rate shall be based on the following matrix:
100% = 5 
 &gt;80% = 4 
 &gt;60% = 3 
 &gt;40% = 2 
 &gt;20% = 1 
 10% = 0
	</t>
  </si>
  <si>
    <t>Adherence to Deadlines and Workload Management</t>
  </si>
  <si>
    <t>Complete tasks on time, meeting deadlines and quality expectations.</t>
  </si>
  <si>
    <t>Evaluate the ability to meet deadlines, submit assignments on time and manage workloads effectively.</t>
  </si>
  <si>
    <t>Knowledge of Tools and Technologies</t>
  </si>
  <si>
    <t>Proficient in using relevant tools and technologies to complete tasks effectively</t>
  </si>
  <si>
    <t>Proficicncy and ability to apply tools</t>
  </si>
  <si>
    <t>Problem-solving Ability</t>
  </si>
  <si>
    <t>Ability to solve problems effectively</t>
  </si>
  <si>
    <t>WORK QUALITY [15%]</t>
  </si>
  <si>
    <t>Attention to detail and high-quality output in all tasks.</t>
  </si>
  <si>
    <t>Attention to Detail</t>
  </si>
  <si>
    <t>Ensure high precision and thoroughness in completing tasks.</t>
  </si>
  <si>
    <t>Rate the task accuracy, precision and thoroughness</t>
  </si>
  <si>
    <t>Quality of Work</t>
  </si>
  <si>
    <t>Deliver work with high quality and professionalism.</t>
  </si>
  <si>
    <t>Work is complete flawlessly with no errors and exceeds expectations in every eay with all requirements are met.</t>
  </si>
  <si>
    <t>Work Output</t>
  </si>
  <si>
    <t>Produce high-quality and error-free work outputs.</t>
  </si>
  <si>
    <t>Work is completed ahead of time with high quality, no errors and meets or exceeds expectations</t>
  </si>
  <si>
    <t>CUSTOMER SATISFACTION/SERVICE LEVEL COMMITMENT [10%]</t>
  </si>
  <si>
    <t>Consistenlty meet deadlines and provide excellent service.</t>
  </si>
  <si>
    <t>Meets deadlines for assignments and course requirements</t>
  </si>
  <si>
    <t>Evaluates whether deadlines for tasks, assignments and projects were met consistently</t>
  </si>
  <si>
    <t>Actively engages with teammates during recitations or offering assistance and feedback</t>
  </si>
  <si>
    <t>Actively contributes and offers assistance</t>
  </si>
  <si>
    <t>Evaluate teamwork and communication in collaborative project and assignments.</t>
  </si>
  <si>
    <t>SELF-IMPROVEMENT [10%]</t>
  </si>
  <si>
    <t>Demonstrate continuous learning and growth</t>
  </si>
  <si>
    <t>Summative Assessment</t>
  </si>
  <si>
    <t>Actively seeks feedback and applies it improve</t>
  </si>
  <si>
    <t>Rate how the trainee engages in learning, respond to feedback and improves overtime.</t>
  </si>
  <si>
    <t>Grooming and Attire</t>
  </si>
  <si>
    <t>COMPLIANCE [10%]</t>
  </si>
  <si>
    <t>Adhere to all compliance guidelines and policies</t>
  </si>
  <si>
    <t>Adherence to the policy and guidelines of bootcamp and SSGCI</t>
  </si>
  <si>
    <t>Fully adheres to all policies and guidelines.</t>
  </si>
  <si>
    <t>Assess how well the trainees follow the policies, guidelines and the general conduct</t>
  </si>
  <si>
    <t>Punctuality and attendance</t>
  </si>
  <si>
    <t>Evaluate the attendance.</t>
  </si>
  <si>
    <t>Behavioral Assessment (Form B)</t>
  </si>
  <si>
    <t>Would you Recommend this Person to continue his deployment to the assign team?</t>
  </si>
  <si>
    <t xml:space="preserve">Yes </t>
  </si>
  <si>
    <t>No</t>
  </si>
  <si>
    <t>OVERALL RECOMMENDATION</t>
  </si>
  <si>
    <t>I hereby certify that I have been informed of my performance ratings, and I fully understand the results after our thorough discussion. The rankings, along with the feedback, were clearly explained to me, and I am aware of both my strengths and the areas where I need to improve. I appreciate the feedback and have taken note of the specific areas requiring further development.
Although there are areas for improvement, I am committed to putting in the necessary effort to address them. I acknowledge the progress I’ve made so far in the bootcamp, and I am determined to continue with the training. I am dedicated to completing the bootcamp successfully and look forward to the continued learning and growth that lies ahead. Additionally, I understand that I am bound by the training bond and will fulfill the terms and conditions as agreed.</t>
  </si>
  <si>
    <t>Employee Acknowledgement</t>
  </si>
  <si>
    <t>Recommended by:</t>
  </si>
  <si>
    <t>Immediate Superior Acknowledgement</t>
  </si>
  <si>
    <t>(Signature over Printed Name)</t>
  </si>
  <si>
    <t>Flordeliza Fernandez</t>
  </si>
  <si>
    <t>Lead Service Delivery</t>
  </si>
  <si>
    <t>SSCGI Bootcamp</t>
  </si>
  <si>
    <t>Witnessed by:</t>
  </si>
  <si>
    <t>Laboratory Activities</t>
  </si>
  <si>
    <t>Employee Engagement</t>
  </si>
  <si>
    <t>Team Work and Collaboration</t>
  </si>
  <si>
    <t>Intiative and Ownership</t>
  </si>
  <si>
    <t>Productivity</t>
  </si>
  <si>
    <t>Adherence to deadlines and Workload Management</t>
  </si>
  <si>
    <t>Task Execution and Application of Knowledge</t>
  </si>
  <si>
    <t>Work Quality</t>
  </si>
  <si>
    <t>Customer Satisfaction/Service Level Commitments</t>
  </si>
  <si>
    <t>Meets deadline for assignments and coourse requirements</t>
  </si>
  <si>
    <t>Actively engage with teammates during recitations or offering assistance and feedback</t>
  </si>
  <si>
    <t>Self-improvement</t>
  </si>
  <si>
    <t>Grooming and Attire + Weekly Report</t>
  </si>
  <si>
    <t>Assessments</t>
  </si>
  <si>
    <t>Rating</t>
  </si>
  <si>
    <t>Score</t>
  </si>
  <si>
    <t>Equivalent</t>
  </si>
  <si>
    <t>Total Items</t>
  </si>
  <si>
    <t>Weekly Report</t>
  </si>
  <si>
    <t>Status</t>
  </si>
  <si>
    <t>Portfolio</t>
  </si>
  <si>
    <t>Git and Version Control</t>
  </si>
  <si>
    <t>Week 01</t>
  </si>
  <si>
    <t>QTab Modules</t>
  </si>
  <si>
    <t>JavaScript</t>
  </si>
  <si>
    <t>Week 02</t>
  </si>
  <si>
    <t>Pokemon</t>
  </si>
  <si>
    <t>Data Modeling/DBMS</t>
  </si>
  <si>
    <t>Week 03</t>
  </si>
  <si>
    <t>MERN</t>
  </si>
  <si>
    <t>Week 04</t>
  </si>
  <si>
    <t>SDLC</t>
  </si>
  <si>
    <t>Week 05</t>
  </si>
  <si>
    <t>Defect Reports</t>
  </si>
  <si>
    <t>Week 06</t>
  </si>
  <si>
    <t>SQL/Data validation</t>
  </si>
  <si>
    <t>Week 07</t>
  </si>
  <si>
    <t>Automation</t>
  </si>
  <si>
    <t>Week 08</t>
  </si>
  <si>
    <t>Logic and Foundation</t>
  </si>
  <si>
    <t>Week 09</t>
  </si>
  <si>
    <t>OOP</t>
  </si>
  <si>
    <t>Week 10</t>
  </si>
  <si>
    <t>Week 11</t>
  </si>
  <si>
    <t>Week 12</t>
  </si>
  <si>
    <t>Week 13</t>
  </si>
  <si>
    <t>Week 14</t>
  </si>
  <si>
    <t>Week 15</t>
  </si>
  <si>
    <t>SSCGI TRANING ROADMAP</t>
  </si>
  <si>
    <t>SSCGI TRANING ROADMAP is a comprehesive pragmatic approach design to equip system devloper, business analyst, project manager and quality assurance aspirant with the indemand technical skills, business processes and management strategies. It follows a sequential approach and in phases to cater the diverses roles and specifications required by the client's need.</t>
  </si>
  <si>
    <r>
      <rPr>
        <sz val="11"/>
        <color rgb="FF000000"/>
        <rFont val="Aptos Narrow"/>
      </rPr>
      <t xml:space="preserve">Each </t>
    </r>
    <r>
      <rPr>
        <b/>
        <sz val="11"/>
        <color rgb="FF000000"/>
        <rFont val="Aptos Narrow"/>
      </rPr>
      <t>phase</t>
    </r>
    <r>
      <rPr>
        <sz val="11"/>
        <color rgb="FF000000"/>
        <rFont val="Aptos Narrow"/>
      </rPr>
      <t xml:space="preserve"> comprises structured </t>
    </r>
    <r>
      <rPr>
        <b/>
        <sz val="11"/>
        <color rgb="FF000000"/>
        <rFont val="Aptos Narrow"/>
      </rPr>
      <t>sections</t>
    </r>
    <r>
      <rPr>
        <sz val="11"/>
        <color rgb="FF000000"/>
        <rFont val="Aptos Narrow"/>
      </rPr>
      <t xml:space="preserve"> that build on foundational knowledge while progressively introducing advanced tools and techniques. </t>
    </r>
  </si>
  <si>
    <t>Training Roadmap Objectives:</t>
  </si>
  <si>
    <t>1. Train the participants to design and deliver tailored IT solutions that aling wiht SSCGI's "We Designm You Decide" philosopy to empower customer-centric innovation</t>
  </si>
  <si>
    <t>2. Equip participants with technical skills and professional standards to develop reliable, compliant IT solutions</t>
  </si>
  <si>
    <t>3. Cultivate teamwork, adaptability and leaderships to produce professionals who contribute to SSCGI's mission and economic development</t>
  </si>
  <si>
    <t>4. Prepare the participants with skills and an entrepreneurial mindset to support SSCGI's vision of becoming a global leader in IT solutions.</t>
  </si>
  <si>
    <t>PHASE 1 TRAINING - ONBOARDING</t>
  </si>
  <si>
    <t>This phase lays the groundwork by equipping participants with the foundations and core concepts of technical and professional skills essential for MERN full-stack</t>
  </si>
  <si>
    <t>Trainee Onboarding</t>
  </si>
  <si>
    <t>HR Orientation and Getting to Know the Company</t>
  </si>
  <si>
    <t>PHASE 2 TRAINING - Upskilling</t>
  </si>
  <si>
    <t>Business Analyst Deck</t>
  </si>
  <si>
    <t>SysDev Deck</t>
  </si>
  <si>
    <r>
      <rPr>
        <sz val="11"/>
        <color rgb="FF000000"/>
        <rFont val="Aptos Narrow"/>
        <scheme val="minor"/>
      </rPr>
      <t xml:space="preserve">This deck is tailored for the aspiring business analyst to </t>
    </r>
    <r>
      <rPr>
        <b/>
        <sz val="11"/>
        <color rgb="FF000000"/>
        <rFont val="Aptos Narrow"/>
        <scheme val="minor"/>
      </rPr>
      <t>develop skills</t>
    </r>
    <r>
      <rPr>
        <sz val="11"/>
        <color rgb="FF000000"/>
        <rFont val="Aptos Narrow"/>
        <scheme val="minor"/>
      </rPr>
      <t xml:space="preserve"> for interpreting data, understanding business requirements and designing effective solutions.</t>
    </r>
  </si>
  <si>
    <t>This track focuses on equipping trainees with the knowledge and skills required to design, develop, and deploy software systems. It covers foundational programming concepts, full-stack development, software engineering principles, and emerging tools and technologies in system development.</t>
  </si>
  <si>
    <t>Data Analysis and Visualization</t>
  </si>
  <si>
    <t>Requirements and Documentation Tools</t>
  </si>
  <si>
    <t>.NET Full Stack</t>
  </si>
  <si>
    <t>CI/CD</t>
  </si>
  <si>
    <r>
      <rPr>
        <sz val="8"/>
        <color rgb="FF000000"/>
        <rFont val="Aptos Narrow"/>
      </rPr>
      <t xml:space="preserve">This </t>
    </r>
    <r>
      <rPr>
        <b/>
        <sz val="8"/>
        <color rgb="FF000000"/>
        <rFont val="Aptos Narrow"/>
      </rPr>
      <t>30-hour</t>
    </r>
    <r>
      <rPr>
        <sz val="8"/>
        <color rgb="FF000000"/>
        <rFont val="Aptos Narrow"/>
      </rPr>
      <t xml:space="preserve"> </t>
    </r>
    <r>
      <rPr>
        <b/>
        <sz val="8"/>
        <color rgb="FF000000"/>
        <rFont val="Aptos Narrow"/>
      </rPr>
      <t>course</t>
    </r>
    <r>
      <rPr>
        <sz val="8"/>
        <color rgb="FF000000"/>
        <rFont val="Aptos Narrow"/>
      </rPr>
      <t xml:space="preserve"> introduces the principles, tools and applications of data analysis and visualization. It emphasizes on practicak and hands-on like  MS Peoject and PowerBI</t>
    </r>
  </si>
  <si>
    <r>
      <rPr>
        <sz val="8"/>
        <color rgb="FF000000"/>
        <rFont val="Aptos Narrow"/>
      </rPr>
      <t xml:space="preserve">This is a </t>
    </r>
    <r>
      <rPr>
        <b/>
        <sz val="8"/>
        <color rgb="FF000000"/>
        <rFont val="Aptos Narrow"/>
      </rPr>
      <t>20-hour course</t>
    </r>
    <r>
      <rPr>
        <sz val="8"/>
        <color rgb="FF000000"/>
        <rFont val="Aptos Narrow"/>
      </rPr>
      <t xml:space="preserve"> module that gain both theoretical and practical skills and managing and documenting requirements using tools and techniques.</t>
    </r>
  </si>
  <si>
    <r>
      <rPr>
        <sz val="8"/>
        <color rgb="FF000000"/>
        <rFont val="Aptos Narrow"/>
      </rPr>
      <t xml:space="preserve">This is a </t>
    </r>
    <r>
      <rPr>
        <b/>
        <sz val="8"/>
        <color rgb="FF000000"/>
        <rFont val="Aptos Narrow"/>
      </rPr>
      <t>26-hour course</t>
    </r>
    <r>
      <rPr>
        <sz val="8"/>
        <color rgb="FF000000"/>
        <rFont val="Aptos Narrow"/>
      </rPr>
      <t xml:space="preserve"> module that This module focuses on building end-to-end applications using the .NET ecosystem. Trainees will learn to develop scalable web applications using ASP.NET</t>
    </r>
  </si>
  <si>
    <r>
      <rPr>
        <sz val="8"/>
        <color rgb="FF000000"/>
        <rFont val="Aptos Narrow"/>
      </rPr>
      <t>This is a 1</t>
    </r>
    <r>
      <rPr>
        <b/>
        <sz val="8"/>
        <color rgb="FF000000"/>
        <rFont val="Aptos Narrow"/>
      </rPr>
      <t>6-hour course</t>
    </r>
    <r>
      <rPr>
        <sz val="8"/>
        <color rgb="FF000000"/>
        <rFont val="Aptos Narrow"/>
      </rPr>
      <t xml:space="preserve"> module that implement automated development workflows using CI/CD practices.techniques, and monitoring deployed systems using tools like Jenkins, GitHub Actions, and Azure DevOps.</t>
    </r>
  </si>
  <si>
    <t>Modeling and Diagramming Skills</t>
  </si>
  <si>
    <t>Agile and Project Management Tools</t>
  </si>
  <si>
    <t>PHP</t>
  </si>
  <si>
    <t>Angular</t>
  </si>
  <si>
    <r>
      <rPr>
        <sz val="8"/>
        <color rgb="FF000000"/>
        <rFont val="Aptos Narrow"/>
      </rPr>
      <t xml:space="preserve">This is a </t>
    </r>
    <r>
      <rPr>
        <b/>
        <sz val="8"/>
        <color rgb="FF000000"/>
        <rFont val="Aptos Narrow"/>
      </rPr>
      <t>24-hour course</t>
    </r>
    <r>
      <rPr>
        <sz val="8"/>
        <color rgb="FF000000"/>
        <rFont val="Aptos Narrow"/>
      </rPr>
      <t xml:space="preserve"> module that for server-side web development. Participants will gain expertise in developing dynamic websites, working with databases, and using PHP frameworks like Laravel for rapid application development.</t>
    </r>
  </si>
  <si>
    <r>
      <rPr>
        <sz val="8"/>
        <color rgb="FF000000"/>
        <rFont val="Aptos Narrow"/>
      </rPr>
      <t xml:space="preserve">This is a </t>
    </r>
    <r>
      <rPr>
        <b/>
        <sz val="8"/>
        <color rgb="FF000000"/>
        <rFont val="Aptos Narrow"/>
      </rPr>
      <t>21-hour course</t>
    </r>
    <r>
      <rPr>
        <sz val="8"/>
        <color rgb="FF000000"/>
        <rFont val="Aptos Narrow"/>
      </rPr>
      <t xml:space="preserve"> module that Angular framework for building dynamic and responsive single-page applications (SPAs). It includes topics on Angular components, services, directives, forms, and state management using RxJS and NgRx.</t>
    </r>
  </si>
  <si>
    <t>Project Manager Deck</t>
  </si>
  <si>
    <t>Quality Assurance</t>
  </si>
  <si>
    <t>This training equips participants with the tools, techniques, and best practices for effectively planning, executing, and closing projects. It emphasizes team collaboration, risk management, and delivering projects on time and within budget.</t>
  </si>
  <si>
    <t>This training focuses on ensuring software quality through rigorous testing processes and methodologies. Participants will learn about test planning, execution, and automation to ensure software meets functional and non-functional requirements.</t>
  </si>
  <si>
    <t>Project Planning Tools</t>
  </si>
  <si>
    <t>Test Management and Documentation</t>
  </si>
  <si>
    <t>Software/Performance  Testing Tools</t>
  </si>
  <si>
    <t>Agil and Scrum Methodologies</t>
  </si>
  <si>
    <t>Resource/Budget Management and Risk Management and Analysis</t>
  </si>
  <si>
    <t>CI/CD Tools</t>
  </si>
  <si>
    <t>Behavior-driven Development (BDD)</t>
  </si>
  <si>
    <t>PHASE 3 TRAINING - Retooling (Vendor Training)</t>
  </si>
  <si>
    <t xml:space="preserve">PHASE 1 TRAINING </t>
  </si>
  <si>
    <r>
      <rPr>
        <sz val="11"/>
        <color rgb="FF000000"/>
        <rFont val="Aptos Narrow"/>
      </rPr>
      <t xml:space="preserve">The </t>
    </r>
    <r>
      <rPr>
        <b/>
        <sz val="11"/>
        <color rgb="FF000000"/>
        <rFont val="Aptos Narrow"/>
      </rPr>
      <t>Training Roadmap – Phase 1</t>
    </r>
    <r>
      <rPr>
        <sz val="11"/>
        <color rgb="FF000000"/>
        <rFont val="Aptos Narrow"/>
      </rPr>
      <t xml:space="preserve"> is a 120-hour program covering onboarding, RDBMS, data warehousing, and ETL using Azure. It concludes with a </t>
    </r>
    <r>
      <rPr>
        <b/>
        <sz val="11"/>
        <color rgb="FF000000"/>
        <rFont val="Aptos Narrow"/>
      </rPr>
      <t>Revalida</t>
    </r>
    <r>
      <rPr>
        <sz val="11"/>
        <color rgb="FF000000"/>
        <rFont val="Aptos Narrow"/>
      </rPr>
      <t>, and project where participants apply their skills to deliver a practical, integrated solution.</t>
    </r>
  </si>
  <si>
    <r>
      <rPr>
        <sz val="11"/>
        <color rgb="FF000000"/>
        <rFont val="Aptos Narrow"/>
      </rPr>
      <t xml:space="preserve">The </t>
    </r>
    <r>
      <rPr>
        <b/>
        <sz val="11"/>
        <color rgb="FF000000"/>
        <rFont val="Aptos Narrow"/>
      </rPr>
      <t>Training Roadmap – Phase 2</t>
    </r>
    <r>
      <rPr>
        <sz val="11"/>
        <color rgb="FF000000"/>
        <rFont val="Aptos Narrow"/>
      </rPr>
      <t xml:space="preserve"> is a 120-hour program covering  on key methodologies and tools in software development and project managentated solution.  The goal is to provide learners with an understanding in SDLC and Scrum frameworks and how effectively utilize project management tools for tracking and delivering projects</t>
    </r>
  </si>
  <si>
    <t xml:space="preserve">SSCGI TRAINING BOOTCAMP </t>
  </si>
  <si>
    <t>Phase</t>
  </si>
  <si>
    <t>SID</t>
  </si>
  <si>
    <t>Tasks</t>
  </si>
  <si>
    <t>Man Hours</t>
  </si>
  <si>
    <t xml:space="preserve">Modularity </t>
  </si>
  <si>
    <t>Assessment</t>
  </si>
  <si>
    <t>Remarks</t>
  </si>
  <si>
    <t>Working Environments and Tools</t>
  </si>
  <si>
    <t>Command-line Essentials</t>
  </si>
  <si>
    <t>Udemy</t>
  </si>
  <si>
    <t>Intro to Git</t>
  </si>
  <si>
    <t>HTML Guide</t>
  </si>
  <si>
    <t>Responsive HTML and CSS</t>
  </si>
  <si>
    <t>Responsive Simple Web App</t>
  </si>
  <si>
    <t>Bootstrap</t>
  </si>
  <si>
    <t>JavaScript Basics for Beginners</t>
  </si>
  <si>
    <t>JQuery</t>
  </si>
  <si>
    <t>Ajax Development</t>
  </si>
  <si>
    <t>Assessment: Technical Exam</t>
  </si>
  <si>
    <t>s03</t>
  </si>
  <si>
    <t>Review - HTML and Bootstrap</t>
  </si>
  <si>
    <t>Classroom Type</t>
  </si>
  <si>
    <t>Hands-on activity - Developer Profile</t>
  </si>
  <si>
    <t>s04</t>
  </si>
  <si>
    <t>Review - JavaScript Functions and conditional structures</t>
  </si>
  <si>
    <t>Hands-on activity - Pasaload App planning and prototype</t>
  </si>
  <si>
    <t>s05</t>
  </si>
  <si>
    <t>JavaScript - Arrays and Array Manipulation</t>
  </si>
  <si>
    <t>Hands-on activity - Pasaload App with verification</t>
  </si>
  <si>
    <t>s06</t>
  </si>
  <si>
    <t xml:space="preserve">JavaScript - Introduction to JSON and JavaScript Object Notation </t>
  </si>
  <si>
    <t>Hands-on activity - Creating and apply test plan for Pasaload Project</t>
  </si>
  <si>
    <t>s07</t>
  </si>
  <si>
    <t>JavaScript - OOP</t>
  </si>
  <si>
    <t>Hands-on activity</t>
  </si>
  <si>
    <t>s08</t>
  </si>
  <si>
    <t>JavaScript - ES6 Updates</t>
  </si>
  <si>
    <t>RDBMS and Structured Query Language</t>
  </si>
  <si>
    <t>s09</t>
  </si>
  <si>
    <t>MSSQL - Intro to RDBMS and Database Design</t>
  </si>
  <si>
    <t>s10</t>
  </si>
  <si>
    <t>MSSQL - Relational Schema</t>
  </si>
  <si>
    <t>s11</t>
  </si>
  <si>
    <t>MSSQL - Data Modeling and Transition</t>
  </si>
  <si>
    <t>s12</t>
  </si>
  <si>
    <t>MSSQL - SQL Basics</t>
  </si>
  <si>
    <t>s13</t>
  </si>
  <si>
    <t>MSSQL - CRUD  Operations</t>
  </si>
  <si>
    <t>s14</t>
  </si>
  <si>
    <t>MSSQL - Aggregation and Query Case Studies</t>
  </si>
  <si>
    <t>s15</t>
  </si>
  <si>
    <t>MSSQL - Query Optimization</t>
  </si>
  <si>
    <t>s16</t>
  </si>
  <si>
    <t>MSSQL - Injection and Security</t>
  </si>
  <si>
    <t>s17</t>
  </si>
  <si>
    <t xml:space="preserve">MSSQL - Store Procedures </t>
  </si>
  <si>
    <t>s18</t>
  </si>
  <si>
    <t>MSSQL -  Triggers</t>
  </si>
  <si>
    <t>Data Warehousing and ETL</t>
  </si>
  <si>
    <t>s19</t>
  </si>
  <si>
    <t>DW - Datawarehousing Concepts and Storytelling with Data</t>
  </si>
  <si>
    <t>Udemy/Classroom Type</t>
  </si>
  <si>
    <t>s20</t>
  </si>
  <si>
    <t>DW - Dimensional Modeling</t>
  </si>
  <si>
    <t>s21</t>
  </si>
  <si>
    <t>DW - ETL and its key concepts</t>
  </si>
  <si>
    <t>s22</t>
  </si>
  <si>
    <t>DW - Data Extraction Techniques</t>
  </si>
  <si>
    <t>s23</t>
  </si>
  <si>
    <t>DW - Data Transformation Techniques</t>
  </si>
  <si>
    <t>s24</t>
  </si>
  <si>
    <t>DW - Data Loading and Automation</t>
  </si>
  <si>
    <t>s25</t>
  </si>
  <si>
    <t>DW - Data Warehousing on Cloud Platforms</t>
  </si>
  <si>
    <t>s26</t>
  </si>
  <si>
    <t>DW - Querying Data Ware Houses</t>
  </si>
  <si>
    <t>Endorsement to AMLA</t>
  </si>
  <si>
    <t xml:space="preserve">API Development </t>
  </si>
  <si>
    <t>s27</t>
  </si>
  <si>
    <t>Node.JS - Introduction</t>
  </si>
  <si>
    <t>s28</t>
  </si>
  <si>
    <t>Node.JS - Routing and HTTP Methods</t>
  </si>
  <si>
    <t>s29</t>
  </si>
  <si>
    <t>Node.JS - Introduction to Postman and Rest</t>
  </si>
  <si>
    <t>s30</t>
  </si>
  <si>
    <t>Express.JS - Introduction</t>
  </si>
  <si>
    <t>s31</t>
  </si>
  <si>
    <t>Express.JS - Data Persistence via Mongoose ODM</t>
  </si>
  <si>
    <t>s32</t>
  </si>
  <si>
    <t>Express.JS - Modules, Parameterized and Routes</t>
  </si>
  <si>
    <t>s33</t>
  </si>
  <si>
    <t>Translating mock-ups to Front-end</t>
  </si>
  <si>
    <t>s34</t>
  </si>
  <si>
    <t>Translating mock-ups to Back-end</t>
  </si>
  <si>
    <t>s35</t>
  </si>
  <si>
    <t>Express.JS - API Development - Capstone Development 2</t>
  </si>
  <si>
    <t>s36</t>
  </si>
  <si>
    <t>Capstone Development 2 - Presentation</t>
  </si>
  <si>
    <t>Full Stack with React.JS</t>
  </si>
  <si>
    <t>s37</t>
  </si>
  <si>
    <t xml:space="preserve">JavaScript - Document Object Model </t>
  </si>
  <si>
    <t>s38</t>
  </si>
  <si>
    <t>JavaScript - DOM / JSON Data</t>
  </si>
  <si>
    <t>s39</t>
  </si>
  <si>
    <t>JavaScript - DOM / Fetching data from server</t>
  </si>
  <si>
    <t>s40</t>
  </si>
  <si>
    <t>React.JS -  Introduction</t>
  </si>
  <si>
    <t>s41</t>
  </si>
  <si>
    <t>React.JS -  Component Driven Development</t>
  </si>
  <si>
    <t>s42</t>
  </si>
  <si>
    <t>React.JS - Props and state</t>
  </si>
  <si>
    <t>s43</t>
  </si>
  <si>
    <t>React.JS - Effects, Events and Forms</t>
  </si>
  <si>
    <t>s44</t>
  </si>
  <si>
    <t>React.JS - Routing and Conditional Rendering</t>
  </si>
  <si>
    <t>s45</t>
  </si>
  <si>
    <t>React.JS - App State Management</t>
  </si>
  <si>
    <t>s46</t>
  </si>
  <si>
    <t>React.JS - App Integration with Fetch</t>
  </si>
  <si>
    <t>Technical Exam and Capstone</t>
  </si>
  <si>
    <t>s47</t>
  </si>
  <si>
    <t>Technical Exam - Concepts and Theory and Function Coding</t>
  </si>
  <si>
    <t>s48</t>
  </si>
  <si>
    <t>Technical Exam - Data Structure and Debugging/Code Tracing</t>
  </si>
  <si>
    <t>s49</t>
  </si>
  <si>
    <t>React.JS - Full Stack - Capstone Development 3</t>
  </si>
  <si>
    <t>s50</t>
  </si>
  <si>
    <t>s51</t>
  </si>
  <si>
    <t>s52</t>
  </si>
  <si>
    <t>s53</t>
  </si>
  <si>
    <t>s54</t>
  </si>
  <si>
    <t>Capstone Development 3 - Presentation</t>
  </si>
  <si>
    <t>Endorsement to SysDev</t>
  </si>
  <si>
    <t xml:space="preserve">Total number of hours     </t>
  </si>
  <si>
    <t xml:space="preserve">Total number of days     </t>
  </si>
  <si>
    <t xml:space="preserve">Total number of weeks     </t>
  </si>
  <si>
    <t>s</t>
  </si>
  <si>
    <t>TRAINEE EVALUATION</t>
  </si>
  <si>
    <t>Job Title</t>
  </si>
  <si>
    <t>Needs Improvement</t>
  </si>
  <si>
    <t>Contact Name</t>
  </si>
  <si>
    <t>Fair</t>
  </si>
  <si>
    <t>Instructor Name</t>
  </si>
  <si>
    <t>Good</t>
  </si>
  <si>
    <t>Very Good</t>
  </si>
  <si>
    <t>Endorsement Date</t>
  </si>
  <si>
    <t>Excellent</t>
  </si>
  <si>
    <t>Focus Area</t>
  </si>
  <si>
    <t xml:space="preserve">Ranking </t>
  </si>
  <si>
    <t>Max</t>
  </si>
  <si>
    <t>%</t>
  </si>
  <si>
    <t>Explanation</t>
  </si>
  <si>
    <t>Technical Assessment</t>
  </si>
  <si>
    <t>Understading the core concepts</t>
  </si>
  <si>
    <t>Efficiently applies skills in coding tasks</t>
  </si>
  <si>
    <t>Problem-solving skills</t>
  </si>
  <si>
    <t>Proficient in Relavant tools</t>
  </si>
  <si>
    <t>Behavioral Skills</t>
  </si>
  <si>
    <t>Punctuality and Attendance</t>
  </si>
  <si>
    <t>Team Collaboration</t>
  </si>
  <si>
    <t>Adaptability to New Concepts</t>
  </si>
  <si>
    <t>Ability to send activities with no errors on time</t>
  </si>
  <si>
    <t>Articulates ideas clearly during presentation/class presentation or in meetings</t>
  </si>
  <si>
    <t>Properly documented syntax, meeting, test cases and other documentation requirements</t>
  </si>
  <si>
    <t>Provides feedback/participate in class</t>
  </si>
  <si>
    <t>Date Hired</t>
  </si>
  <si>
    <t>Deployment Date</t>
  </si>
  <si>
    <t>Batch</t>
  </si>
  <si>
    <t>Recommendation</t>
  </si>
  <si>
    <t>PHASE</t>
  </si>
  <si>
    <t>WW</t>
  </si>
  <si>
    <t>Time</t>
  </si>
  <si>
    <t>Notes</t>
  </si>
  <si>
    <t>s01</t>
  </si>
  <si>
    <t>BA - Foundations 1</t>
  </si>
  <si>
    <t>Udemy course: Business Analysis Foundations</t>
  </si>
  <si>
    <t>s02</t>
  </si>
  <si>
    <t>BA - Data Analysis and Visualization</t>
  </si>
  <si>
    <t>BA - Data Cleaning and Transformation</t>
  </si>
  <si>
    <t>BA - Modeling Skills and Techniques</t>
  </si>
  <si>
    <t>Udemy course: Business Analysis Skills and Techniques</t>
  </si>
  <si>
    <t>BA - Visualization Tools</t>
  </si>
  <si>
    <t>BA - Building Dashboard and Reports</t>
  </si>
  <si>
    <t>BA - Storyteling with data</t>
  </si>
  <si>
    <t>BA - Management Consultant</t>
  </si>
  <si>
    <t>Udemy course: Business Analysis Fundamentals for Management Consultant</t>
  </si>
  <si>
    <t>Total number of hours</t>
  </si>
  <si>
    <t>Total number of days</t>
  </si>
  <si>
    <t>Progress</t>
  </si>
  <si>
    <t>PERFORMANCE EVALUATION FORM - B</t>
  </si>
  <si>
    <t xml:space="preserve">NAME:            </t>
  </si>
  <si>
    <t xml:space="preserve">POSITION:      </t>
  </si>
  <si>
    <t xml:space="preserve">DIVISION / GROUP:  </t>
  </si>
  <si>
    <t>PERFORMANCE MEASURES</t>
  </si>
  <si>
    <t>BASIC JOB FUNCTIONS</t>
  </si>
  <si>
    <t>HEAD</t>
  </si>
  <si>
    <t>COLLEAGUE</t>
  </si>
  <si>
    <t>SELF-EVAL</t>
  </si>
  <si>
    <t>Average</t>
  </si>
  <si>
    <t>EVAL 1</t>
  </si>
  <si>
    <t>EVAL 2</t>
  </si>
  <si>
    <t>EVAL 3</t>
  </si>
  <si>
    <r>
      <rPr>
        <b/>
        <sz val="12"/>
        <color indexed="8"/>
        <rFont val="Calibri"/>
        <family val="2"/>
      </rPr>
      <t>Technical Knowledge and Skills</t>
    </r>
    <r>
      <rPr>
        <sz val="12"/>
        <color indexed="8"/>
        <rFont val="Calibri"/>
        <family val="2"/>
      </rPr>
      <t xml:space="preserve">
</t>
    </r>
    <r>
      <rPr>
        <i/>
        <sz val="12"/>
        <color indexed="8"/>
        <rFont val="Calibri"/>
        <family val="2"/>
      </rPr>
      <t>(Shows job relevant knowledge and skills, acquired from education, experience and specialized trainings, needed to perform the duties and requirements of the position)</t>
    </r>
  </si>
  <si>
    <r>
      <rPr>
        <b/>
        <sz val="12"/>
        <color indexed="8"/>
        <rFont val="Calibri"/>
        <family val="2"/>
      </rPr>
      <t>Judgement and Conflict Management</t>
    </r>
    <r>
      <rPr>
        <sz val="12"/>
        <color indexed="8"/>
        <rFont val="Calibri"/>
        <family val="2"/>
      </rPr>
      <t xml:space="preserve">
</t>
    </r>
    <r>
      <rPr>
        <i/>
        <sz val="12"/>
        <color indexed="8"/>
        <rFont val="Calibri"/>
        <family val="2"/>
      </rPr>
      <t>(Ability to evaluate situations and make sound decisions, and use of reasoning to identify, to solve, to prevent and to handle future conflicts)</t>
    </r>
  </si>
  <si>
    <r>
      <rPr>
        <b/>
        <sz val="12"/>
        <color indexed="8"/>
        <rFont val="Calibri"/>
        <family val="2"/>
      </rPr>
      <t>Reliability and Dependability</t>
    </r>
    <r>
      <rPr>
        <sz val="12"/>
        <color indexed="8"/>
        <rFont val="Calibri"/>
        <family val="2"/>
      </rPr>
      <t xml:space="preserve">
</t>
    </r>
    <r>
      <rPr>
        <i/>
        <sz val="12"/>
        <color indexed="8"/>
        <rFont val="Calibri"/>
        <family val="2"/>
      </rPr>
      <t>(Trustworthiness in carrying-out instructions, establishing procedures and performing work assignments with minimal supervision)</t>
    </r>
  </si>
  <si>
    <r>
      <rPr>
        <b/>
        <sz val="12"/>
        <color indexed="8"/>
        <rFont val="Calibri"/>
        <family val="2"/>
      </rPr>
      <t>Flexibility</t>
    </r>
    <r>
      <rPr>
        <sz val="12"/>
        <color indexed="8"/>
        <rFont val="Calibri"/>
        <family val="2"/>
      </rPr>
      <t xml:space="preserve">
</t>
    </r>
    <r>
      <rPr>
        <i/>
        <sz val="12"/>
        <color indexed="8"/>
        <rFont val="Calibri"/>
        <family val="2"/>
      </rPr>
      <t>(Ability to do other functions within and/or outside his/her scope and limitations without risking the quality of work)</t>
    </r>
  </si>
  <si>
    <r>
      <rPr>
        <b/>
        <sz val="12"/>
        <color indexed="8"/>
        <rFont val="Calibri"/>
        <family val="2"/>
      </rPr>
      <t>Teamwork</t>
    </r>
    <r>
      <rPr>
        <sz val="12"/>
        <color indexed="8"/>
        <rFont val="Calibri"/>
        <family val="2"/>
      </rPr>
      <t xml:space="preserve">
</t>
    </r>
    <r>
      <rPr>
        <i/>
        <sz val="12"/>
        <color indexed="8"/>
        <rFont val="Calibri"/>
        <family val="2"/>
      </rPr>
      <t>A team player. Ability to work with others with shared objectives. Willingness to share/contribute, develop and carry-out new methods and ideas to the group</t>
    </r>
  </si>
  <si>
    <r>
      <rPr>
        <b/>
        <sz val="12"/>
        <color indexed="8"/>
        <rFont val="Calibri"/>
        <family val="2"/>
      </rPr>
      <t>Drive for Excellence</t>
    </r>
    <r>
      <rPr>
        <sz val="12"/>
        <color indexed="8"/>
        <rFont val="Calibri"/>
        <family val="2"/>
      </rPr>
      <t xml:space="preserve">
</t>
    </r>
    <r>
      <rPr>
        <i/>
        <sz val="12"/>
        <color indexed="8"/>
        <rFont val="Calibri"/>
        <family val="2"/>
      </rPr>
      <t>(Ability to maximize full potential, consistenly exceeding standards and execute tasks right the first time)</t>
    </r>
  </si>
  <si>
    <r>
      <rPr>
        <b/>
        <sz val="12"/>
        <color indexed="8"/>
        <rFont val="Calibri"/>
        <family val="2"/>
      </rPr>
      <t>Integrity</t>
    </r>
    <r>
      <rPr>
        <sz val="12"/>
        <color indexed="8"/>
        <rFont val="Calibri"/>
        <family val="2"/>
      </rPr>
      <t xml:space="preserve">
</t>
    </r>
    <r>
      <rPr>
        <i/>
        <sz val="12"/>
        <color indexed="8"/>
        <rFont val="Calibri"/>
        <family val="2"/>
      </rPr>
      <t>(Able to live values and adhere to moral and ethical standards such as honesty and respect for others)</t>
    </r>
  </si>
  <si>
    <r>
      <rPr>
        <b/>
        <sz val="12"/>
        <color indexed="8"/>
        <rFont val="Calibri"/>
        <family val="2"/>
      </rPr>
      <t>Information Safety and Security</t>
    </r>
    <r>
      <rPr>
        <sz val="12"/>
        <color indexed="8"/>
        <rFont val="Calibri"/>
        <family val="2"/>
      </rPr>
      <t xml:space="preserve">
</t>
    </r>
    <r>
      <rPr>
        <i/>
        <sz val="12"/>
        <color indexed="8"/>
        <rFont val="Calibri"/>
        <family val="2"/>
      </rPr>
      <t>(Ability to protect the security of Computer Information Systems and the confidentiality of the information available to or received by him/her)</t>
    </r>
  </si>
  <si>
    <r>
      <rPr>
        <b/>
        <sz val="12"/>
        <color indexed="8"/>
        <rFont val="Calibri"/>
        <family val="2"/>
      </rPr>
      <t>Written Communication</t>
    </r>
    <r>
      <rPr>
        <sz val="12"/>
        <color indexed="8"/>
        <rFont val="Calibri"/>
        <family val="2"/>
      </rPr>
      <t xml:space="preserve">
</t>
    </r>
    <r>
      <rPr>
        <i/>
        <sz val="12"/>
        <color indexed="8"/>
        <rFont val="Calibri"/>
        <family val="2"/>
      </rPr>
      <t>(Ability to use various writing styles for effective communincation and able to express message clearly and informatively)</t>
    </r>
  </si>
  <si>
    <r>
      <rPr>
        <b/>
        <sz val="12"/>
        <color indexed="8"/>
        <rFont val="Calibri"/>
        <family val="2"/>
      </rPr>
      <t>Oral Communication</t>
    </r>
    <r>
      <rPr>
        <sz val="12"/>
        <color indexed="8"/>
        <rFont val="Calibri"/>
        <family val="2"/>
      </rPr>
      <t xml:space="preserve">
</t>
    </r>
    <r>
      <rPr>
        <i/>
        <sz val="12"/>
        <color indexed="8"/>
        <rFont val="Calibri"/>
        <family val="2"/>
      </rPr>
      <t>(Ability to speak clearly and persuasively. Shows fluency on the languages used by many and able to respond in questions professionally)</t>
    </r>
  </si>
  <si>
    <r>
      <rPr>
        <b/>
        <sz val="12"/>
        <color indexed="8"/>
        <rFont val="Calibri"/>
        <family val="2"/>
      </rPr>
      <t>Interpersonal Relations</t>
    </r>
    <r>
      <rPr>
        <sz val="12"/>
        <color indexed="8"/>
        <rFont val="Calibri"/>
        <family val="2"/>
      </rPr>
      <t xml:space="preserve">
</t>
    </r>
    <r>
      <rPr>
        <i/>
        <sz val="12"/>
        <color indexed="8"/>
        <rFont val="Calibri"/>
        <family val="2"/>
      </rPr>
      <t>(Able to exhibit good working relationships, respect and courtesy with most of his/her peers, subordinates, superiors, clients and the general public)</t>
    </r>
  </si>
  <si>
    <t>PROFESSIONAL AND CUSTOMER SERVICE</t>
  </si>
  <si>
    <r>
      <rPr>
        <b/>
        <sz val="12"/>
        <color indexed="8"/>
        <rFont val="Calibri"/>
        <family val="2"/>
      </rPr>
      <t>Grooming and Attire</t>
    </r>
    <r>
      <rPr>
        <sz val="12"/>
        <color indexed="8"/>
        <rFont val="Calibri"/>
        <family val="2"/>
      </rPr>
      <t xml:space="preserve">
</t>
    </r>
    <r>
      <rPr>
        <i/>
        <sz val="12"/>
        <color indexed="8"/>
        <rFont val="Calibri"/>
        <family val="2"/>
      </rPr>
      <t>(Maintains pleasant and professional image at all times and able to present himself/herself professionally and knowledgeably)</t>
    </r>
  </si>
  <si>
    <r>
      <rPr>
        <b/>
        <sz val="12"/>
        <color indexed="8"/>
        <rFont val="Calibri"/>
        <family val="2"/>
      </rPr>
      <t>Professionalism</t>
    </r>
    <r>
      <rPr>
        <sz val="12"/>
        <color indexed="8"/>
        <rFont val="Calibri"/>
        <family val="2"/>
      </rPr>
      <t xml:space="preserve">
</t>
    </r>
    <r>
      <rPr>
        <i/>
        <sz val="12"/>
        <color indexed="8"/>
        <rFont val="Calibri"/>
        <family val="2"/>
      </rPr>
      <t>(Show courtesy and sensitivity to his/her clients as well to his/her subordinates at all times. Values and meets commitments and word of honor)</t>
    </r>
  </si>
  <si>
    <r>
      <rPr>
        <b/>
        <sz val="12"/>
        <color indexed="8"/>
        <rFont val="Calibri"/>
        <family val="2"/>
      </rPr>
      <t>Accessibility</t>
    </r>
    <r>
      <rPr>
        <sz val="12"/>
        <color indexed="8"/>
        <rFont val="Calibri"/>
        <family val="2"/>
      </rPr>
      <t xml:space="preserve">
(</t>
    </r>
    <r>
      <rPr>
        <i/>
        <sz val="12"/>
        <color indexed="8"/>
        <rFont val="Calibri"/>
        <family val="2"/>
      </rPr>
      <t>Ability to show availableness and approachableness to his/her clients and subordinatesat all times)</t>
    </r>
  </si>
  <si>
    <r>
      <rPr>
        <b/>
        <sz val="12"/>
        <color indexed="8"/>
        <rFont val="Calibri"/>
        <family val="2"/>
      </rPr>
      <t>Handling Situations</t>
    </r>
    <r>
      <rPr>
        <sz val="12"/>
        <color indexed="8"/>
        <rFont val="Calibri"/>
        <family val="2"/>
      </rPr>
      <t xml:space="preserve">
</t>
    </r>
    <r>
      <rPr>
        <i/>
        <sz val="12"/>
        <color indexed="8"/>
        <rFont val="Calibri"/>
        <family val="2"/>
      </rPr>
      <t>(Able to follow procedure and improvise such carefully to solve customer problems. Handles difficult service problem politely  and responds to clients' needs promptly)</t>
    </r>
  </si>
  <si>
    <t>Completeness</t>
  </si>
  <si>
    <t>Completion Certificate</t>
  </si>
  <si>
    <t>DELIVERABLES</t>
  </si>
  <si>
    <t>Programming Foundations and Tools</t>
  </si>
  <si>
    <t>Frontend Web Development &amp; API Testing</t>
  </si>
  <si>
    <t>Backend Web Application Development with ASP.NET</t>
  </si>
  <si>
    <t>Database and Data Modeling Fundamentals</t>
  </si>
  <si>
    <t>Enterprise Development with .NET</t>
  </si>
  <si>
    <t>Behavioral Training</t>
  </si>
  <si>
    <t>TASKS</t>
  </si>
  <si>
    <t>Command Line Essentials: Bash for Windows</t>
  </si>
  <si>
    <t>Master Git and Github in 5 days : Go from Zero to Hero</t>
  </si>
  <si>
    <t>Data Structures and Algorithms</t>
  </si>
  <si>
    <t>C# Intermediate: Classes, Interfaces and OOP</t>
  </si>
  <si>
    <t>Master C# Programming: Beginner to Adnvanced with OOP</t>
  </si>
  <si>
    <t>C#12 : Ultimate Guide Master Class</t>
  </si>
  <si>
    <t>Complete C# Masterclass</t>
  </si>
  <si>
    <t>Build Responsive Real-world Websites with HTML and CSS</t>
  </si>
  <si>
    <t>Bootstrap 5 from Scratch | Build 5 Modern Websites</t>
  </si>
  <si>
    <t>The Complete JavaScript Courses 2025</t>
  </si>
  <si>
    <t>MERN 2025 Edition</t>
  </si>
  <si>
    <t>Gentle Introduction to ASP.NET for Beginners</t>
  </si>
  <si>
    <t>The Complete ASP.NET Core 9 Course</t>
  </si>
  <si>
    <t>Complete ASP.NET Core and Entity Framework Development</t>
  </si>
  <si>
    <t>Getting Started with .NET Core Clean Architecture</t>
  </si>
  <si>
    <t>Unit Testing .NET 9 Applications with xUnit .net v3</t>
  </si>
  <si>
    <t>Database Management System Part 1</t>
  </si>
  <si>
    <t>Database Management System Part 2</t>
  </si>
  <si>
    <t>Database Management System Part 3</t>
  </si>
  <si>
    <t>Complete Microsoft SQL Server Database Design Masterclass</t>
  </si>
  <si>
    <t>Advanced SQL Bootcamp</t>
  </si>
  <si>
    <t>MSSQL with C# WPF Core Project, MVVM by Using EF Core</t>
  </si>
  <si>
    <t>.NET 8 Microservices: DD, CORS, Vertical/Clean Architecture</t>
  </si>
  <si>
    <t>.NET Core Microservices MVC</t>
  </si>
  <si>
    <t>Learn DevOps: CI/CD with Jenkins using Pipelines and Docker</t>
  </si>
  <si>
    <t>Azure DevOps Crash Course</t>
  </si>
  <si>
    <t>Data Warehouse Fundamentals for Beginners</t>
  </si>
  <si>
    <t>Data Warehouse - The Ultimate Guide</t>
  </si>
  <si>
    <t>Data Warehouse ETL Testing &amp; Data Quality Management A-Z</t>
  </si>
  <si>
    <t>Data Warehouse Developer - SQL Server/ETL/SSIS/SSAS/SSRS/T-SQL</t>
  </si>
  <si>
    <t>The Ultimate Hands-on Hadoop</t>
  </si>
  <si>
    <t>SQL Server Integration Services (SSIS)</t>
  </si>
  <si>
    <t>SQL Server Reporting Services (SSRS) Part 1</t>
  </si>
  <si>
    <t>SQL Server Reporting Services (SSRS) Part 2</t>
  </si>
  <si>
    <t>Conversation Skills Masterclass - Communication Skills</t>
  </si>
  <si>
    <t>Communication Skills: Personality and Behavior in Business</t>
  </si>
  <si>
    <t>Time Management Mastery: Do more, stress less</t>
  </si>
  <si>
    <t>Productivity and Time Mangement for the Overwhelmed</t>
  </si>
  <si>
    <t>Certification Date</t>
  </si>
  <si>
    <t>Upload Udemy Certification</t>
  </si>
  <si>
    <t>Week Range</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</si>
  <si>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</si>
  <si>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</si>
  <si>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</si>
  <si>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</si>
  <si>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</si>
  <si>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</si>
  <si>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</si>
  <si>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</si>
  <si>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</si>
  <si>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</si>
  <si>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</si>
  <si>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</si>
  <si>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</si>
  <si>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</si>
  <si>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</si>
  <si>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</si>
  <si>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</si>
  <si>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</si>
  <si>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</si>
  <si>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</si>
  <si>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</si>
  <si>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</si>
  <si>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</si>
  <si>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</si>
  <si>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</si>
  <si>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</si>
  <si>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</si>
  <si>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</si>
  <si>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</si>
  <si>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</si>
  <si>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</si>
  <si>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</si>
  <si>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Weekly Progress Report</t>
  </si>
  <si>
    <t>UDEMY LESSON</t>
  </si>
  <si>
    <t>Topics/Discussion</t>
  </si>
  <si>
    <t>Time Allocated</t>
  </si>
  <si>
    <t>Schedule Start Date</t>
  </si>
  <si>
    <t>Schedule End Date</t>
  </si>
  <si>
    <t>Start Date</t>
  </si>
  <si>
    <t>End Date</t>
  </si>
  <si>
    <t>Mode Instructions</t>
  </si>
  <si>
    <r>
      <t xml:space="preserve">UDEMY Submission
</t>
    </r>
    <r>
      <rPr>
        <sz val="11"/>
        <color theme="0"/>
        <rFont val="Aptos Narrow"/>
        <scheme val="minor"/>
      </rPr>
      <t>(For Udemy Quizzez or Activity SCREENSHOT YOUR RESULT OR OUTPUT)</t>
    </r>
  </si>
  <si>
    <r>
      <rPr>
        <b/>
        <sz val="11"/>
        <color rgb="FFFFFFFF"/>
        <rFont val="Aptos Narrow"/>
        <scheme val="minor"/>
      </rPr>
      <t xml:space="preserve">Activity Submission
</t>
    </r>
    <r>
      <rPr>
        <sz val="11"/>
        <color rgb="FFFFFFFF"/>
        <rFont val="Aptos Narrow"/>
        <scheme val="minor"/>
      </rPr>
      <t>(Attached your Github Link and add me as Collaborator: shewhocode8)</t>
    </r>
  </si>
  <si>
    <t>PROGRAMMING FOUNDATIONS AND TOOLS</t>
  </si>
  <si>
    <t>Command Line Essentials</t>
  </si>
  <si>
    <t>Command Line Essentials: Git Bash for Windows</t>
  </si>
  <si>
    <t>Git for Beginners: Learn Version Control</t>
  </si>
  <si>
    <t>Complete Guide in HTML</t>
  </si>
  <si>
    <t>Master Git</t>
  </si>
  <si>
    <t>Master Github in 5 days: Go from Zero to Hero</t>
  </si>
  <si>
    <t>Data Structures A-Z</t>
  </si>
  <si>
    <t xml:space="preserve">Data Structures A-Z: Data Structures </t>
  </si>
  <si>
    <t>Data Structures A-Z: Algo Bootcamp</t>
  </si>
  <si>
    <t>C# Fundamentals</t>
  </si>
  <si>
    <t>Classroom Discussion</t>
  </si>
  <si>
    <t>C# Classes, Interfaces and OOP</t>
  </si>
  <si>
    <t>Secure Coding</t>
  </si>
  <si>
    <t>Principles of Secure Coding</t>
  </si>
  <si>
    <t>Secure Coding - Secure Application Development</t>
  </si>
  <si>
    <t>Secure Coding - Ensuring Safe Deployment of Code</t>
  </si>
  <si>
    <t>Main Activity</t>
  </si>
  <si>
    <t>FRONTEND DEVELOPMENT AND API TESTING</t>
  </si>
  <si>
    <t>Build Responsive real-worl Websites with HTML and CSS</t>
  </si>
  <si>
    <t>Fundamentals</t>
  </si>
  <si>
    <t>Layouts</t>
  </si>
  <si>
    <t>Design Rules and Framework</t>
  </si>
  <si>
    <t>Components and Patterns</t>
  </si>
  <si>
    <t>Omni Project 1</t>
  </si>
  <si>
    <t>Omni Project 2</t>
  </si>
  <si>
    <t>Omni Project Deployment</t>
  </si>
  <si>
    <t>Bootstrap 5</t>
  </si>
  <si>
    <t>Bootstrap Fundamentals</t>
  </si>
  <si>
    <t>Bootstrap Custom Sass Workflow</t>
  </si>
  <si>
    <t>The Complete JavaScript Course 2025</t>
  </si>
  <si>
    <t>JavaScript - Fundamentals 1</t>
  </si>
  <si>
    <t>JavaScript - Fundamentals 2</t>
  </si>
  <si>
    <t>JavaScript - Editor Setup</t>
  </si>
  <si>
    <t>JavaScript - DOM and Events</t>
  </si>
  <si>
    <t>JavaScript - Structure</t>
  </si>
  <si>
    <t>JavaScript - Data Structures 1</t>
  </si>
  <si>
    <t>JavaScript - Data Structures 2</t>
  </si>
  <si>
    <t>JavaScript - Functions</t>
  </si>
  <si>
    <t>JavaScript - Mapty App</t>
  </si>
  <si>
    <t xml:space="preserve">JavaScript - Asynchronous </t>
  </si>
  <si>
    <t>JavaScript - Promise/Async/Await</t>
  </si>
  <si>
    <t>JavaScript - Modules and Tooling</t>
  </si>
  <si>
    <t>JavaScript - Forkify App 1</t>
  </si>
  <si>
    <t>JavaScript - Forkify App 2</t>
  </si>
  <si>
    <t>JavaScript - Forkify App 3</t>
  </si>
  <si>
    <t>s55</t>
  </si>
  <si>
    <t xml:space="preserve">Main Activity </t>
  </si>
  <si>
    <t>s56</t>
  </si>
  <si>
    <t>The Complete JQuery Course</t>
  </si>
  <si>
    <t>JQuery Fundamentals</t>
  </si>
  <si>
    <t>s57</t>
  </si>
  <si>
    <t>JQuery Advance</t>
  </si>
  <si>
    <t>s58</t>
  </si>
  <si>
    <t>Introduction to Postman and API Testing</t>
  </si>
  <si>
    <t>HTTP Protocols</t>
  </si>
  <si>
    <t>s59</t>
  </si>
  <si>
    <t>API Testing</t>
  </si>
  <si>
    <t>s60</t>
  </si>
  <si>
    <t>MERN 2025</t>
  </si>
  <si>
    <t>React Router</t>
  </si>
  <si>
    <t>s61</t>
  </si>
  <si>
    <t>Dashboard Page</t>
  </si>
  <si>
    <t>s1-q1.png</t>
  </si>
  <si>
    <t>s62</t>
  </si>
  <si>
    <t>Server</t>
  </si>
  <si>
    <t>s63</t>
  </si>
  <si>
    <t>Register Page</t>
  </si>
  <si>
    <t>s64</t>
  </si>
  <si>
    <t>Profile Page</t>
  </si>
  <si>
    <t>s65</t>
  </si>
  <si>
    <t>s66</t>
  </si>
  <si>
    <t>BACKEND WEB APPLICATION DEVELOPMENT WITH ASP.NET</t>
  </si>
  <si>
    <t xml:space="preserve">Introduction to ASP.NET </t>
  </si>
  <si>
    <t>Creating Web Forms</t>
  </si>
  <si>
    <t>s67</t>
  </si>
  <si>
    <t>Transitioning from ASP.NET to ASO.NET MVC Core</t>
  </si>
  <si>
    <t>s68</t>
  </si>
  <si>
    <t>Blazor Application Part 1</t>
  </si>
  <si>
    <t>s69</t>
  </si>
  <si>
    <t>Blazor Application Part 2</t>
  </si>
  <si>
    <t>s70</t>
  </si>
  <si>
    <t>Blazor Application Part 3</t>
  </si>
  <si>
    <t>s71</t>
  </si>
  <si>
    <t>s72</t>
  </si>
  <si>
    <t>Blazor Implementation</t>
  </si>
  <si>
    <t>s73</t>
  </si>
  <si>
    <t>s75</t>
  </si>
  <si>
    <t>ASP.NET Core 9</t>
  </si>
  <si>
    <t>User and Role Management with ASP.NET Core Identity</t>
  </si>
  <si>
    <t>s76</t>
  </si>
  <si>
    <t>Using View Models ad Controller Authorization</t>
  </si>
  <si>
    <t>s77</t>
  </si>
  <si>
    <t>ASP.NET Core and Entity Framework</t>
  </si>
  <si>
    <t>Type Management Module</t>
  </si>
  <si>
    <t>s78</t>
  </si>
  <si>
    <t>Leave Allocation Module</t>
  </si>
  <si>
    <t>s79</t>
  </si>
  <si>
    <t>Deploying Microsoft Azure</t>
  </si>
  <si>
    <t>s80</t>
  </si>
  <si>
    <t>Core Clean Architecture</t>
  </si>
  <si>
    <t>.NET Core Clean Architecture</t>
  </si>
  <si>
    <t>s81</t>
  </si>
  <si>
    <t>Unit Testing</t>
  </si>
  <si>
    <t>Unit Testing .NET 0 Applications</t>
  </si>
  <si>
    <t>s92</t>
  </si>
  <si>
    <t xml:space="preserve">Advance SQL Server Objects </t>
  </si>
  <si>
    <t>s93</t>
  </si>
  <si>
    <t>SQL Server Security</t>
  </si>
  <si>
    <t>s94</t>
  </si>
  <si>
    <t>s95</t>
  </si>
  <si>
    <t xml:space="preserve">DATABASE AND DATA MODELING FUNDAMENTALS </t>
  </si>
  <si>
    <t>s82</t>
  </si>
  <si>
    <t>Database - ER Model to Contraints of Relational Model</t>
  </si>
  <si>
    <t>s83</t>
  </si>
  <si>
    <t xml:space="preserve">Database - Keys to Conversion of ER Model </t>
  </si>
  <si>
    <t>s84</t>
  </si>
  <si>
    <t>Database - Functional Dependencies to FD Sets</t>
  </si>
  <si>
    <t>s85</t>
  </si>
  <si>
    <t>Database - Decomposition to 3NF</t>
  </si>
  <si>
    <t>s86</t>
  </si>
  <si>
    <t>Database - BCNF to Operations of Relational Algebra</t>
  </si>
  <si>
    <t>s87</t>
  </si>
  <si>
    <t>Database - Joins to Relational Algebra</t>
  </si>
  <si>
    <t>s88</t>
  </si>
  <si>
    <t xml:space="preserve">Database - Table Creation to Data Retrieval </t>
  </si>
  <si>
    <t>s89</t>
  </si>
  <si>
    <t>Database - Aliasing in SQL to Group by Clause and Having Clause in SQL</t>
  </si>
  <si>
    <t>s90</t>
  </si>
  <si>
    <t>Database - Connectives in SQL and Correlated Queries in SQL</t>
  </si>
  <si>
    <t>s91</t>
  </si>
  <si>
    <t>Database - Subqueries to Grouping Sets</t>
  </si>
  <si>
    <t>Database - Schema structures to Table Inheritance</t>
  </si>
  <si>
    <t>Database - Views to  Useful Methods</t>
  </si>
  <si>
    <t>Database - Environment to Managing Tables</t>
  </si>
  <si>
    <t xml:space="preserve">Database - Normalization to SQL Server Security </t>
  </si>
  <si>
    <t>s96</t>
  </si>
  <si>
    <t>Complete Microsoft SQL Server Databse Design Masterclass</t>
  </si>
  <si>
    <t>Environment and Toolset</t>
  </si>
  <si>
    <t>s97</t>
  </si>
  <si>
    <t>s98</t>
  </si>
  <si>
    <t>ENTERPRISE DEVELOPMENT WITH .NET</t>
  </si>
  <si>
    <t>s99</t>
  </si>
  <si>
    <t>WPF Core Project</t>
  </si>
  <si>
    <t>s100</t>
  </si>
  <si>
    <t>MVVM by Using EF Core</t>
  </si>
  <si>
    <t>s101</t>
  </si>
  <si>
    <t>.NET 8 Microservices: DDD, CQRS, Vertical/Clean Architecture</t>
  </si>
  <si>
    <t>Microservices</t>
  </si>
  <si>
    <t>s102</t>
  </si>
  <si>
    <t>Develop Catalog.API with CQRS</t>
  </si>
  <si>
    <t>s103</t>
  </si>
  <si>
    <t>Distributed Caching with Redis</t>
  </si>
  <si>
    <t>s104</t>
  </si>
  <si>
    <t>API Endpoints with Carter</t>
  </si>
  <si>
    <t>s105</t>
  </si>
  <si>
    <t>.NET Core Microservices</t>
  </si>
  <si>
    <t>Coupon API</t>
  </si>
  <si>
    <t>s106</t>
  </si>
  <si>
    <t>Service Bus Receiver</t>
  </si>
  <si>
    <t>s107</t>
  </si>
  <si>
    <t>CI/CD with Jenkins</t>
  </si>
  <si>
    <t>DevOps - Building NodeJS</t>
  </si>
  <si>
    <t>s108</t>
  </si>
  <si>
    <t>DevOps - Pipelines</t>
  </si>
  <si>
    <t>s109</t>
  </si>
  <si>
    <t>Azure DevOps Bootcamp</t>
  </si>
  <si>
    <t>Azure - DevOps Introduction</t>
  </si>
  <si>
    <t>s110</t>
  </si>
  <si>
    <t>Azure - Azure Pipelines 1</t>
  </si>
  <si>
    <t>s111</t>
  </si>
  <si>
    <t>Azure - Azure Pipelines 2</t>
  </si>
  <si>
    <t>s112</t>
  </si>
  <si>
    <t>Azure - Dashboards / Azure SQL</t>
  </si>
  <si>
    <t>s113</t>
  </si>
  <si>
    <t>s114</t>
  </si>
  <si>
    <t>DATA WAREHOUSING/ETL/SSIS/SSRS</t>
  </si>
  <si>
    <t>s115</t>
  </si>
  <si>
    <t>Data Warehousing Fundamentals</t>
  </si>
  <si>
    <t>DW - Concepts</t>
  </si>
  <si>
    <t>s116</t>
  </si>
  <si>
    <t>DW - Concepts  / Fundamentals</t>
  </si>
  <si>
    <t>s117</t>
  </si>
  <si>
    <t>Data Warehouse Ultimate Guide</t>
  </si>
  <si>
    <t>DW - Data Warehouse to Dimensional Modeling</t>
  </si>
  <si>
    <t>s118</t>
  </si>
  <si>
    <t>DW - Facts to Changing Dimensions</t>
  </si>
  <si>
    <t>s119</t>
  </si>
  <si>
    <t>DW - ETL Process to Using a Data Warehouse</t>
  </si>
  <si>
    <t>s120</t>
  </si>
  <si>
    <t>DW - Optimizing Data Warehouse</t>
  </si>
  <si>
    <t>s121</t>
  </si>
  <si>
    <t>Data Warehouse ETL Testing</t>
  </si>
  <si>
    <t>DW - ETL Testing &amp; Data Quality Management</t>
  </si>
  <si>
    <t>s122</t>
  </si>
  <si>
    <t>Data Warehouse Developer</t>
  </si>
  <si>
    <t>DW - SQL/ETL/SISS/SSAS/SSRS/T-SQL 1</t>
  </si>
  <si>
    <t>s123</t>
  </si>
  <si>
    <t>DW - SQL/ETL/SISS/SSAS/SSRS/T-SQL 2</t>
  </si>
  <si>
    <t>s124</t>
  </si>
  <si>
    <t>DW - SQL/ETL/SISS/SSAS/SSRS/T-SQL 3</t>
  </si>
  <si>
    <t>s125</t>
  </si>
  <si>
    <t>Hadoop</t>
  </si>
  <si>
    <t>DW - Hadoop to Querying you Data Interactively</t>
  </si>
  <si>
    <t>s126</t>
  </si>
  <si>
    <t>DW - Managing Cluster to Designing Systems</t>
  </si>
  <si>
    <t>s127</t>
  </si>
  <si>
    <t>SSIS</t>
  </si>
  <si>
    <t>SSIS - SQL Server Integration Services Introduction</t>
  </si>
  <si>
    <t>s128</t>
  </si>
  <si>
    <t>SSIS - Introduction to SQL Server Integration</t>
  </si>
  <si>
    <t>s129</t>
  </si>
  <si>
    <t>SSRS</t>
  </si>
  <si>
    <t>SSRS - SQL Reporting Services Part 1 A</t>
  </si>
  <si>
    <t>s130</t>
  </si>
  <si>
    <t>SSRS - SQL Reporting Services Part 1 B</t>
  </si>
  <si>
    <t>s131</t>
  </si>
  <si>
    <t>SSRS - SQL Reporting Services Part 2 A</t>
  </si>
  <si>
    <t>s132</t>
  </si>
  <si>
    <t>SSRS - SQL Reporting Services Part 2 B</t>
  </si>
  <si>
    <t>s133</t>
  </si>
  <si>
    <t>s134</t>
  </si>
  <si>
    <t>PERSONAL, COMMUNICATION AND BEHAVIORAL TRAINING</t>
  </si>
  <si>
    <t>Time Management</t>
  </si>
  <si>
    <t>Productivity Time</t>
  </si>
  <si>
    <t>Conversationa Skills Masterclass - Communication Skills</t>
  </si>
  <si>
    <t xml:space="preserve">ADDITIONAL TRACK:  DATA ANALYSIS </t>
  </si>
  <si>
    <t>SQL Data Analytics</t>
  </si>
  <si>
    <t>The Ultimate MySQL Bootcamp</t>
  </si>
  <si>
    <t>s135</t>
  </si>
  <si>
    <t>MySQL for Data Analytics and Business Intelligence</t>
  </si>
  <si>
    <t>s136</t>
  </si>
  <si>
    <t>MySQL for Ecommerce Data Analysis</t>
  </si>
  <si>
    <t>s137</t>
  </si>
  <si>
    <t>Python Programmig for Data Analysis</t>
  </si>
  <si>
    <t>Python for Data Analysis and Visualization</t>
  </si>
  <si>
    <t>s138</t>
  </si>
  <si>
    <t>Python for Data Science: Python Programming and Data Analysis</t>
  </si>
  <si>
    <t>s139</t>
  </si>
  <si>
    <t>Statistical Analysis in Data Analytics</t>
  </si>
  <si>
    <t>Statistics for Data Science and Business Analysis</t>
  </si>
  <si>
    <t>s140</t>
  </si>
  <si>
    <t>Statistics &amp; Mathematics for Data Science and Data Analytics</t>
  </si>
  <si>
    <t>s141</t>
  </si>
  <si>
    <t>Data Handling and Visualization with Excel</t>
  </si>
  <si>
    <t>Excel with Interactive Excel Dashboards</t>
  </si>
  <si>
    <t>s142</t>
  </si>
  <si>
    <t>Microsoft Excel Data Analysis and Dashboard Reporting</t>
  </si>
  <si>
    <t>s143</t>
  </si>
  <si>
    <t>Rails Development Skills</t>
  </si>
  <si>
    <t>The Complete Ruby on Rails Developer Course</t>
  </si>
  <si>
    <t>s144</t>
  </si>
  <si>
    <t>JavaScript and Ruby on Rails with React, Angular and Vue</t>
  </si>
  <si>
    <t>s145</t>
  </si>
  <si>
    <t>s146</t>
  </si>
  <si>
    <t>SCALE</t>
  </si>
  <si>
    <t>RATING SCORES</t>
  </si>
  <si>
    <t>ADJECTIVAL</t>
  </si>
  <si>
    <t>POOR</t>
  </si>
  <si>
    <t>Consistently failed to expectations.</t>
  </si>
  <si>
    <t>UNSATISFACTORY</t>
  </si>
  <si>
    <t>Some effort shown but well below standards.</t>
  </si>
  <si>
    <t>NEEDS IMPROVEMENT</t>
  </si>
  <si>
    <t>Marginal performance; close but not meeting the minimum required standards</t>
  </si>
  <si>
    <t>SATISFACTORY</t>
  </si>
  <si>
    <t>Meets baseline expectations</t>
  </si>
  <si>
    <t>OUTSTANDING</t>
  </si>
  <si>
    <t>Exceeds expectations across all areas</t>
  </si>
  <si>
    <t>Role</t>
  </si>
  <si>
    <t>Technical Skills</t>
  </si>
  <si>
    <t>Problem-Solving</t>
  </si>
  <si>
    <t>Communication</t>
  </si>
  <si>
    <t>Collaboration</t>
  </si>
  <si>
    <t>Formative Assessment</t>
  </si>
  <si>
    <t>Key Characteristics</t>
  </si>
  <si>
    <t>Training Recommendation</t>
  </si>
  <si>
    <t>Technical Business Analyst</t>
  </si>
  <si>
    <t>Analytical thinking, stakeholder empathy, structured documentation, adaptability</t>
  </si>
  <si>
    <t>Business Process Modeling, Agile BA Certification</t>
  </si>
  <si>
    <t>Web Developer</t>
  </si>
  <si>
    <t>Logical reasoning, debugging persistence, attention to coding standards</t>
  </si>
  <si>
    <t>Full-Stack Development Bootcamp, Agile &amp; DevOps</t>
  </si>
  <si>
    <t>Advanced</t>
  </si>
  <si>
    <t>UI/UX Developer</t>
  </si>
  <si>
    <t>Creativity, user-centric mindset, visual precision, adaptability to feedback</t>
  </si>
  <si>
    <t>UI/UX Design Principles, Figma/Adobe XD</t>
  </si>
  <si>
    <t>Database Administrator</t>
  </si>
  <si>
    <t>Detail orientation, data integrity focus, risk management, stress tolerance</t>
  </si>
  <si>
    <t>Database Optimization, SQL Performance Tuning</t>
  </si>
  <si>
    <t>QA Engineer</t>
  </si>
  <si>
    <t>Attention to detail, critical thinking, patience, systematic approach, persistence</t>
  </si>
  <si>
    <t>ISTQB Certification, Automated Testing Tools</t>
  </si>
  <si>
    <t>Intermediate</t>
  </si>
  <si>
    <t>Data Engineer</t>
  </si>
  <si>
    <t>Data accuracy mindset, scalability thinking, optimization focus</t>
  </si>
  <si>
    <t>Big Data Engineering, ETL Tools, Cloud Platforms</t>
  </si>
  <si>
    <t>Implementation Consultant</t>
  </si>
  <si>
    <t>Client empathy, problem-solving under pressure, clear communication, diplomacy</t>
  </si>
  <si>
    <t>ITIL Foundation, Client Communication Skills</t>
  </si>
  <si>
    <t>Foundation/Basic</t>
  </si>
  <si>
    <t>Developer</t>
  </si>
  <si>
    <t>Problem-solving agility, coding discipline, adaptability to new tech</t>
  </si>
  <si>
    <t>Advanced Programming, SDLC Best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</si>
</sst>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409]dd\-mmm\-yy;@"/>
  </numFmts>
  <fonts count="136">
    <font>
      <sz val="11"/>
      <color theme="1"/>
      <name val="Aptos Narrow"/>
      <family val="2"/>
      <scheme val="minor"/>
    </font>
    <font>
      <b/>
      <sz val="11"/>
      <color theme="1"/>
      <name val="Aptos Narrow"/>
      <family val="2"/>
      <scheme val="minor"/>
    </font>
    <font>
      <sz val="14"/>
      <color theme="1"/>
      <name val="Aptos Narrow"/>
      <family val="2"/>
      <scheme val="minor"/>
    </font>
    <font>
      <sz val="10"/>
      <color theme="1"/>
      <name val="Aptos Narrow"/>
      <family val="2"/>
      <scheme val="minor"/>
    </font>
    <font>
      <sz val="8"/>
      <color theme="1"/>
      <name val="Aptos Narrow"/>
      <family val="2"/>
      <scheme val="minor"/>
    </font>
    <font>
      <b/>
      <sz val="16"/>
      <color theme="1"/>
      <name val="Aptos Narrow"/>
      <family val="2"/>
      <scheme val="minor"/>
    </font>
    <font>
      <b/>
      <sz val="18"/>
      <color theme="1"/>
      <name val="Aptos Narrow"/>
      <family val="2"/>
      <scheme val="minor"/>
    </font>
    <font>
      <sz val="11"/>
      <color rgb="FF000000"/>
      <name val="Aptos Narrow"/>
    </font>
    <font>
      <b/>
      <sz val="11"/>
      <color rgb="FF000000"/>
      <name val="Aptos Narrow"/>
    </font>
    <font>
      <b/>
      <sz val="11"/>
      <color rgb="FFFF0000"/>
      <name val="Aptos Narrow"/>
      <family val="2"/>
      <scheme val="minor"/>
    </font>
    <font>
      <sz val="9"/>
      <color theme="1"/>
      <name val="Aptos Narrow"/>
      <family val="2"/>
      <scheme val="minor"/>
    </font>
    <font>
      <sz val="9"/>
      <color rgb="FF000000"/>
      <name val="Aptos Narrow"/>
      <scheme val="minor"/>
    </font>
    <font>
      <sz val="8"/>
      <color rgb="FF000000"/>
      <name val="Aptos Narrow"/>
      <scheme val="minor"/>
    </font>
    <font>
      <sz val="8"/>
      <color rgb="FF000000"/>
      <name val="Aptos Narrow"/>
    </font>
    <font>
      <b/>
      <sz val="8"/>
      <color rgb="FF000000"/>
      <name val="Aptos Narrow"/>
    </font>
    <font>
      <sz val="11"/>
      <color rgb="FF000000"/>
      <name val="Aptos Narrow"/>
      <charset val="1"/>
    </font>
    <font>
      <sz val="11"/>
      <color rgb="FF000000"/>
      <name val="Aptos Narrow"/>
      <scheme val="minor"/>
    </font>
    <font>
      <b/>
      <sz val="11"/>
      <color rgb="FF000000"/>
      <name val="Aptos Narrow"/>
      <scheme val="minor"/>
    </font>
    <font>
      <b/>
      <sz val="11"/>
      <color theme="0"/>
      <name val="Aptos Narrow"/>
      <family val="2"/>
      <scheme val="minor"/>
    </font>
    <font>
      <b/>
      <sz val="11"/>
      <color rgb="FF0070C0"/>
      <name val="Aptos Narrow"/>
      <family val="2"/>
      <scheme val="minor"/>
    </font>
    <font>
      <sz val="24"/>
      <color theme="1"/>
      <name val="Aptos Narrow"/>
      <family val="2"/>
      <scheme val="minor"/>
    </font>
    <font>
      <sz val="11"/>
      <color theme="1" tint="0.499984740745262"/>
      <name val="Aptos Narrow"/>
      <family val="2"/>
      <scheme val="minor"/>
    </font>
    <font>
      <b/>
      <sz val="11"/>
      <color theme="3" tint="0.249977111117893"/>
      <name val="Aptos Narrow"/>
      <family val="2"/>
      <scheme val="minor"/>
    </font>
    <font>
      <sz val="11"/>
      <color rgb="FF000000"/>
      <name val="Calibri"/>
      <family val="2"/>
    </font>
    <font>
      <b/>
      <sz val="24"/>
      <color theme="1"/>
      <name val="Aptos Narrow"/>
      <family val="2"/>
      <scheme val="minor"/>
    </font>
    <font>
      <b/>
      <sz val="14"/>
      <color theme="1"/>
      <name val="Aptos Narrow"/>
      <family val="2"/>
      <scheme val="minor"/>
    </font>
    <font>
      <b/>
      <sz val="11"/>
      <color rgb="FF002060"/>
      <name val="Aptos Narrow"/>
      <family val="2"/>
      <scheme val="minor"/>
    </font>
    <font>
      <sz val="11"/>
      <color rgb="FF002060"/>
      <name val="Aptos Narrow"/>
      <family val="2"/>
      <scheme val="minor"/>
    </font>
    <font>
      <b/>
      <sz val="16"/>
      <color rgb="FF0070C0"/>
      <name val="Aptos Narrow"/>
      <family val="2"/>
      <scheme val="minor"/>
    </font>
    <font>
      <b/>
      <sz val="36"/>
      <color theme="1"/>
      <name val="Aptos Narrow"/>
      <family val="2"/>
      <scheme val="minor"/>
    </font>
    <font>
      <sz val="11"/>
      <color theme="1"/>
      <name val="Aptos Narrow"/>
      <family val="2"/>
      <scheme val="minor"/>
    </font>
    <font>
      <sz val="11"/>
      <color theme="1"/>
      <name val="Arial"/>
      <family val="2"/>
    </font>
    <font>
      <b/>
      <sz val="16"/>
      <color theme="1"/>
      <name val="Arial"/>
      <family val="2"/>
    </font>
    <font>
      <b/>
      <sz val="14"/>
      <color theme="1"/>
      <name val="Arial"/>
      <family val="2"/>
    </font>
    <font>
      <sz val="14"/>
      <color theme="1"/>
      <name val="Arial"/>
      <family val="2"/>
    </font>
    <font>
      <i/>
      <sz val="9"/>
      <color theme="1"/>
      <name val="Arial"/>
      <family val="2"/>
    </font>
    <font>
      <b/>
      <sz val="14"/>
      <name val="Arial"/>
      <family val="2"/>
    </font>
    <font>
      <sz val="12"/>
      <color theme="1"/>
      <name val="Arial"/>
      <family val="2"/>
    </font>
    <font>
      <b/>
      <sz val="12"/>
      <color theme="1"/>
      <name val="Arial"/>
      <family val="2"/>
    </font>
    <font>
      <sz val="12"/>
      <name val="Arial"/>
      <family val="2"/>
    </font>
    <font>
      <sz val="11"/>
      <color theme="1" tint="0.249977111117893"/>
      <name val="Aptos Narrow"/>
      <family val="2"/>
      <scheme val="minor"/>
    </font>
    <font>
      <b/>
      <sz val="12"/>
      <color theme="1" tint="0.249977111117893"/>
      <name val="Aptos Narrow"/>
      <family val="2"/>
      <scheme val="minor"/>
    </font>
    <font>
      <sz val="10"/>
      <color theme="1"/>
      <name val="Arial"/>
      <family val="2"/>
    </font>
    <font>
      <sz val="10"/>
      <color rgb="FF000000"/>
      <name val="Arial"/>
      <family val="2"/>
    </font>
    <font>
      <b/>
      <sz val="10"/>
      <color rgb="FF000000"/>
      <name val="Arial"/>
      <family val="2"/>
    </font>
    <font>
      <b/>
      <sz val="11"/>
      <color rgb="FF000000"/>
      <name val="Arial"/>
      <family val="2"/>
    </font>
    <font>
      <sz val="11"/>
      <color rgb="FF000000"/>
      <name val="Arial"/>
      <family val="2"/>
    </font>
    <font>
      <b/>
      <sz val="8"/>
      <color theme="1"/>
      <name val="Aptos Narrow"/>
      <family val="2"/>
      <scheme val="minor"/>
    </font>
    <font>
      <b/>
      <sz val="11"/>
      <color theme="0"/>
      <name val="Aptos Narrow"/>
      <charset val="1"/>
    </font>
    <font>
      <sz val="9"/>
      <color rgb="FF000000"/>
      <name val="Aptos"/>
      <charset val="1"/>
    </font>
    <font>
      <sz val="8"/>
      <color rgb="FF000000"/>
      <name val="Aptos"/>
      <charset val="1"/>
    </font>
    <font>
      <b/>
      <sz val="11"/>
      <color rgb="FFC00000"/>
      <name val="Aptos Narrow"/>
      <family val="2"/>
      <scheme val="minor"/>
    </font>
    <font>
      <sz val="11"/>
      <color theme="9" tint="-0.499984740745262"/>
      <name val="Aptos Narrow"/>
      <family val="2"/>
      <scheme val="minor"/>
    </font>
    <font>
      <b/>
      <sz val="20"/>
      <color theme="1"/>
      <name val="Aptos Narrow"/>
      <family val="2"/>
      <scheme val="minor"/>
    </font>
    <font>
      <sz val="11"/>
      <color rgb="FFFAF7AA"/>
      <name val="Aptos Narrow"/>
      <family val="2"/>
      <scheme val="minor"/>
    </font>
    <font>
      <u/>
      <sz val="11"/>
      <color theme="10"/>
      <name val="Aptos Narrow"/>
      <family val="2"/>
      <scheme val="minor"/>
    </font>
    <font>
      <sz val="11"/>
      <color theme="0"/>
      <name val="Aptos Narrow"/>
      <family val="2"/>
      <scheme val="minor"/>
    </font>
    <font>
      <sz val="11"/>
      <color rgb="FF242424"/>
      <name val="Aptos Narrow"/>
      <charset val="1"/>
    </font>
    <font>
      <b/>
      <sz val="11"/>
      <color theme="1" tint="0.499984740745262"/>
      <name val="Aptos Narrow"/>
      <family val="2"/>
      <scheme val="minor"/>
    </font>
    <font>
      <b/>
      <sz val="11"/>
      <color theme="1" tint="4.9989318521683403E-2"/>
      <name val="Aptos Narrow"/>
      <family val="2"/>
      <scheme val="minor"/>
    </font>
    <font>
      <sz val="9"/>
      <color theme="1" tint="4.9989318521683403E-2"/>
      <name val="Aptos Narrow"/>
      <family val="2"/>
      <scheme val="minor"/>
    </font>
    <font>
      <sz val="11"/>
      <color theme="1"/>
      <name val="Aptos Narrow"/>
      <scheme val="minor"/>
    </font>
    <font>
      <sz val="11"/>
      <color theme="1"/>
      <name val="Aptos Narrow"/>
      <family val="2"/>
      <scheme val="minor"/>
    </font>
    <font>
      <b/>
      <sz val="16"/>
      <color theme="1"/>
      <name val="Aptos Narrow"/>
      <scheme val="minor"/>
    </font>
    <font>
      <b/>
      <sz val="16"/>
      <color theme="0"/>
      <name val="Aptos Narrow"/>
      <scheme val="minor"/>
    </font>
    <font>
      <b/>
      <sz val="11"/>
      <color theme="0"/>
      <name val="Aptos Narrow"/>
      <scheme val="minor"/>
    </font>
    <font>
      <b/>
      <sz val="11"/>
      <color theme="1"/>
      <name val="Aptos Narrow"/>
      <scheme val="minor"/>
    </font>
    <font>
      <b/>
      <sz val="36"/>
      <color theme="1"/>
      <name val="Aptos Narrow"/>
      <scheme val="minor"/>
    </font>
    <font>
      <b/>
      <sz val="14"/>
      <color theme="1"/>
      <name val="Aptos Narrow"/>
      <scheme val="minor"/>
    </font>
    <font>
      <sz val="14"/>
      <color theme="1"/>
      <name val="Aptos Narrow"/>
      <scheme val="minor"/>
    </font>
    <font>
      <b/>
      <sz val="14"/>
      <color theme="0"/>
      <name val="Aptos Narrow"/>
      <scheme val="minor"/>
    </font>
    <font>
      <i/>
      <sz val="12"/>
      <color theme="1"/>
      <name val="Aptos Narrow"/>
      <scheme val="minor"/>
    </font>
    <font>
      <sz val="12"/>
      <color theme="1"/>
      <name val="Aptos Narrow"/>
      <scheme val="minor"/>
    </font>
    <font>
      <b/>
      <sz val="12"/>
      <color theme="1"/>
      <name val="Aptos Narrow"/>
      <scheme val="minor"/>
    </font>
    <font>
      <b/>
      <sz val="12"/>
      <name val="Aptos Narrow"/>
      <scheme val="minor"/>
    </font>
    <font>
      <b/>
      <sz val="11"/>
      <name val="Aptos Narrow"/>
      <scheme val="minor"/>
    </font>
    <font>
      <b/>
      <sz val="11"/>
      <color theme="1"/>
      <name val="Aptos Narrow"/>
      <family val="2"/>
      <scheme val="minor"/>
    </font>
    <font>
      <b/>
      <sz val="12"/>
      <color rgb="FF000000"/>
      <name val="Calibri"/>
      <family val="2"/>
    </font>
    <font>
      <b/>
      <sz val="11"/>
      <name val="Arial"/>
      <family val="2"/>
    </font>
    <font>
      <b/>
      <u/>
      <sz val="11"/>
      <name val="Aptos Narrow"/>
      <family val="2"/>
      <scheme val="minor"/>
    </font>
    <font>
      <b/>
      <u/>
      <sz val="13"/>
      <name val="Aptos Narrow"/>
      <family val="2"/>
      <scheme val="minor"/>
    </font>
    <font>
      <b/>
      <u/>
      <sz val="10"/>
      <name val="Aptos Narrow"/>
      <family val="2"/>
      <scheme val="minor"/>
    </font>
    <font>
      <b/>
      <sz val="10"/>
      <name val="Aptos Narrow"/>
      <family val="2"/>
      <scheme val="minor"/>
    </font>
    <font>
      <sz val="12"/>
      <color theme="1"/>
      <name val="Aptos Narrow"/>
      <family val="2"/>
      <scheme val="minor"/>
    </font>
    <font>
      <b/>
      <sz val="12"/>
      <color indexed="8"/>
      <name val="Calibri"/>
      <family val="2"/>
    </font>
    <font>
      <sz val="12"/>
      <color indexed="8"/>
      <name val="Calibri"/>
      <family val="2"/>
    </font>
    <font>
      <i/>
      <sz val="12"/>
      <color indexed="8"/>
      <name val="Calibri"/>
      <family val="2"/>
    </font>
    <font>
      <b/>
      <sz val="12"/>
      <color theme="1"/>
      <name val="Aptos Narrow"/>
      <family val="2"/>
      <scheme val="minor"/>
    </font>
    <font>
      <b/>
      <sz val="17"/>
      <color theme="1"/>
      <name val="Aptos Narrow"/>
      <family val="2"/>
      <scheme val="minor"/>
    </font>
    <font>
      <b/>
      <u/>
      <sz val="13"/>
      <color theme="1"/>
      <name val="Aptos Narrow"/>
      <family val="2"/>
      <scheme val="minor"/>
    </font>
    <font>
      <sz val="11"/>
      <color rgb="FF000000"/>
      <name val="Aptos Narrow"/>
      <family val="2"/>
      <scheme val="minor"/>
    </font>
    <font>
      <b/>
      <sz val="10"/>
      <color theme="1"/>
      <name val="Aptos Narrow"/>
      <family val="2"/>
      <scheme val="minor"/>
    </font>
    <font>
      <sz val="11"/>
      <color theme="0"/>
      <name val="Aptos Narrow"/>
      <scheme val="minor"/>
    </font>
    <font>
      <b/>
      <sz val="11"/>
      <color rgb="FFFFFFFF"/>
      <name val="Aptos Narrow"/>
      <scheme val="minor"/>
    </font>
    <font>
      <sz val="11"/>
      <color rgb="FFFFFFFF"/>
      <name val="Aptos Narrow"/>
      <scheme val="minor"/>
    </font>
    <font>
      <b/>
      <sz val="11"/>
      <color rgb="FF000000"/>
      <name val="Calibri"/>
      <family val="2"/>
    </font>
    <font>
      <i/>
      <sz val="11"/>
      <color theme="1"/>
      <name val="Aptos Narrow"/>
      <family val="2"/>
      <scheme val="minor"/>
    </font>
    <font>
      <b/>
      <sz val="9"/>
      <color theme="1"/>
      <name val="Aptos Narrow"/>
      <family val="2"/>
      <scheme val="minor"/>
    </font>
    <font>
      <b/>
      <sz val="16"/>
      <color rgb="FF000000"/>
      <name val="Arial"/>
      <family val="2"/>
    </font>
    <font>
      <b/>
      <sz val="16"/>
      <color rgb="FFFFFFFF"/>
      <name val="Arial"/>
      <family val="2"/>
    </font>
    <font>
      <sz val="11"/>
      <color rgb="FF000000"/>
      <name val="Arial Black"/>
      <family val="2"/>
    </font>
    <font>
      <b/>
      <sz val="11"/>
      <color rgb="FF000000"/>
      <name val="Arial Black"/>
      <family val="2"/>
    </font>
    <font>
      <b/>
      <sz val="14"/>
      <color rgb="FF000000"/>
      <name val="Arial"/>
      <family val="2"/>
    </font>
    <font>
      <sz val="14"/>
      <color rgb="FF000000"/>
      <name val="Arial"/>
      <family val="2"/>
    </font>
    <font>
      <b/>
      <sz val="14"/>
      <color rgb="FFFFFFFF"/>
      <name val="Arial"/>
      <family val="2"/>
    </font>
    <font>
      <sz val="12"/>
      <color rgb="FF000000"/>
      <name val="Arial"/>
      <family val="2"/>
    </font>
    <font>
      <i/>
      <sz val="12"/>
      <color rgb="FF000000"/>
      <name val="Arial"/>
      <family val="2"/>
    </font>
    <font>
      <b/>
      <sz val="12"/>
      <color rgb="FF000000"/>
      <name val="Arial"/>
      <family val="2"/>
    </font>
    <font>
      <b/>
      <sz val="14"/>
      <color rgb="FFFFFFFF"/>
      <name val="Arial Black"/>
      <family val="2"/>
    </font>
    <font>
      <b/>
      <sz val="16"/>
      <color rgb="FF000000"/>
      <name val="Arial Black"/>
      <family val="2"/>
    </font>
    <font>
      <b/>
      <sz val="12"/>
      <color rgb="FF000000"/>
      <name val="Arial Black"/>
      <family val="2"/>
    </font>
    <font>
      <sz val="12"/>
      <color rgb="FF000000"/>
      <name val="Arial Black"/>
      <family val="2"/>
    </font>
    <font>
      <b/>
      <sz val="48"/>
      <color rgb="FF000000"/>
      <name val="Arial"/>
      <family val="2"/>
    </font>
    <font>
      <b/>
      <sz val="12"/>
      <name val="Arial"/>
      <family val="2"/>
    </font>
    <font>
      <b/>
      <sz val="14"/>
      <name val="Arial Black"/>
      <family val="2"/>
    </font>
    <font>
      <b/>
      <sz val="12"/>
      <name val="Arial Black"/>
      <family val="2"/>
    </font>
    <font>
      <b/>
      <sz val="11"/>
      <color rgb="FFFFFFFF"/>
      <name val="Arial"/>
      <family val="2"/>
    </font>
    <font>
      <sz val="11"/>
      <name val="Arial"/>
      <family val="2"/>
    </font>
    <font>
      <u/>
      <sz val="11"/>
      <name val="Arial"/>
      <family val="2"/>
    </font>
    <font>
      <sz val="12"/>
      <color rgb="FFFFFFFF"/>
      <name val="Arial Black"/>
      <family val="2"/>
    </font>
    <font>
      <sz val="12"/>
      <name val="Arial Black"/>
      <family val="2"/>
    </font>
    <font>
      <b/>
      <sz val="12"/>
      <color rgb="FFFFFFFF"/>
      <name val="Arial Black"/>
      <family val="2"/>
    </font>
    <font>
      <b/>
      <sz val="14"/>
      <color rgb="FF000000"/>
      <name val="Arial Black"/>
      <family val="2"/>
    </font>
    <font>
      <sz val="14"/>
      <color rgb="FF000000"/>
      <name val="Arial Black"/>
      <family val="2"/>
    </font>
    <font>
      <sz val="16"/>
      <color rgb="FF000000"/>
      <name val="Arial"/>
      <family val="2"/>
    </font>
    <font>
      <sz val="11"/>
      <color rgb="FF000000"/>
      <name val="Aptos Narrow"/>
      <family val="2"/>
    </font>
    <font>
      <b/>
      <sz val="20"/>
      <color rgb="FF000000"/>
      <name val="Aptos Narrow"/>
      <family val="2"/>
      <scheme val="minor"/>
    </font>
    <font>
      <b/>
      <sz val="11"/>
      <color rgb="FF000000"/>
      <name val="Aptos Narrow"/>
      <family val="2"/>
      <scheme val="minor"/>
    </font>
    <font>
      <sz val="12"/>
      <color rgb="FF000000"/>
      <name val="Wingdings"/>
      <charset val="2"/>
    </font>
    <font>
      <sz val="9"/>
      <color rgb="FF000000"/>
      <name val="Aptos Narrow"/>
      <family val="2"/>
      <scheme val="minor"/>
    </font>
    <font>
      <b/>
      <u/>
      <sz val="11"/>
      <color rgb="FF000000"/>
      <name val="Aptos Narrow"/>
      <family val="2"/>
      <scheme val="minor"/>
    </font>
    <font>
      <i/>
      <sz val="11"/>
      <color rgb="FF000000"/>
      <name val="Aptos Narrow"/>
      <family val="2"/>
      <scheme val="minor"/>
    </font>
    <font>
      <i/>
      <sz val="11"/>
      <color rgb="FF002060"/>
      <name val="Aptos Narrow"/>
      <family val="2"/>
      <scheme val="minor"/>
    </font>
    <font>
      <sz val="10"/>
      <color rgb="FF000000"/>
      <name val="Aptos Narrow"/>
      <family val="2"/>
      <scheme val="minor"/>
    </font>
    <font>
      <b/>
      <i/>
      <sz val="10"/>
      <color rgb="FF000000"/>
      <name val="Aptos Narrow"/>
      <family val="2"/>
      <scheme val="minor"/>
    </font>
    <font>
      <sz val="8"/>
      <color rgb="FF000000"/>
      <name val="Aptos Narrow"/>
      <family val="2"/>
      <scheme val="minor"/>
    </font>
  </fonts>
  <fills count="33">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AF7AA"/>
        <bgColor indexed="64"/>
      </patternFill>
    </fill>
    <fill>
      <patternFill patternType="solid">
        <fgColor theme="0"/>
        <bgColor indexed="64"/>
      </patternFill>
    </fill>
    <fill>
      <patternFill patternType="solid">
        <fgColor theme="9" tint="-0.499984740745262"/>
        <bgColor indexed="64"/>
      </patternFill>
    </fill>
    <fill>
      <patternFill patternType="solid">
        <fgColor theme="2" tint="-0.249977111117893"/>
        <bgColor indexed="64"/>
      </patternFill>
    </fill>
    <fill>
      <patternFill patternType="solid">
        <fgColor rgb="FFF5C9C9"/>
        <bgColor indexed="64"/>
      </patternFill>
    </fill>
    <fill>
      <patternFill patternType="solid">
        <fgColor rgb="FFC6E0B4"/>
        <bgColor rgb="FF000000"/>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EEF7B7"/>
        <bgColor indexed="64"/>
      </patternFill>
    </fill>
    <fill>
      <patternFill patternType="solid">
        <fgColor theme="2"/>
        <bgColor indexed="64"/>
      </patternFill>
    </fill>
    <fill>
      <patternFill patternType="solid">
        <fgColor rgb="FFFAF9D2"/>
        <bgColor indexed="64"/>
      </patternFill>
    </fill>
    <fill>
      <patternFill patternType="solid">
        <fgColor rgb="FFFFFF00"/>
        <bgColor indexed="64"/>
      </patternFill>
    </fill>
    <fill>
      <patternFill patternType="solid">
        <fgColor theme="5"/>
        <bgColor indexed="64"/>
      </patternFill>
    </fill>
    <fill>
      <patternFill patternType="solid">
        <fgColor theme="6" tint="-0.499984740745262"/>
        <bgColor indexed="64"/>
      </patternFill>
    </fill>
    <fill>
      <patternFill patternType="solid">
        <fgColor rgb="FFEBF1DE"/>
        <bgColor rgb="FF000000"/>
      </patternFill>
    </fill>
    <fill>
      <patternFill patternType="solid">
        <fgColor rgb="FFC4D79B"/>
        <bgColor rgb="FF000000"/>
      </patternFill>
    </fill>
    <fill>
      <patternFill patternType="solid">
        <fgColor rgb="FF92D050"/>
        <bgColor rgb="FF000000"/>
      </patternFill>
    </fill>
    <fill>
      <patternFill patternType="solid">
        <fgColor rgb="FF4F6228"/>
        <bgColor rgb="FF000000"/>
      </patternFill>
    </fill>
    <fill>
      <patternFill patternType="solid">
        <fgColor rgb="FF76933C"/>
        <bgColor rgb="FF000000"/>
      </patternFill>
    </fill>
    <fill>
      <patternFill patternType="solid">
        <fgColor rgb="FF1F4E78"/>
        <bgColor rgb="FF000000"/>
      </patternFill>
    </fill>
    <fill>
      <patternFill patternType="solid">
        <fgColor rgb="FFD9D9D9"/>
        <bgColor rgb="FF000000"/>
      </patternFill>
    </fill>
    <fill>
      <patternFill patternType="solid">
        <fgColor rgb="FFDDEBF7"/>
        <bgColor rgb="FF000000"/>
      </patternFill>
    </fill>
    <fill>
      <patternFill patternType="solid">
        <fgColor rgb="FFBFBFBF"/>
        <bgColor rgb="FF000000"/>
      </patternFill>
    </fill>
    <fill>
      <patternFill patternType="solid">
        <fgColor rgb="FFFFFFFF"/>
        <bgColor rgb="FF000000"/>
      </patternFill>
    </fill>
    <fill>
      <patternFill patternType="solid">
        <fgColor rgb="FFFFFF00"/>
        <bgColor rgb="FF000000"/>
      </patternFill>
    </fill>
    <fill>
      <patternFill patternType="solid">
        <fgColor rgb="FF002060"/>
        <bgColor indexed="64"/>
      </patternFill>
    </fill>
    <fill>
      <patternFill patternType="solid">
        <fgColor rgb="FFC9C9C9"/>
        <bgColor rgb="FF000000"/>
      </patternFill>
    </fill>
  </fills>
  <borders count="2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bottom/>
      <diagonal/>
    </border>
    <border>
      <left style="thin">
        <color theme="1" tint="0.499984740745262"/>
      </left>
      <right style="thin">
        <color theme="1" tint="0.499984740745262"/>
      </right>
      <top/>
      <bottom/>
      <diagonal/>
    </border>
    <border>
      <left/>
      <right/>
      <top style="thin">
        <color theme="1" tint="0.499984740745262"/>
      </top>
      <bottom style="thin">
        <color theme="1" tint="0.499984740745262"/>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rgb="FF000000"/>
      </right>
      <top style="thin">
        <color theme="1" tint="0.499984740745262"/>
      </top>
      <bottom style="thin">
        <color rgb="FF000000"/>
      </bottom>
      <diagonal/>
    </border>
    <border>
      <left style="thin">
        <color rgb="FF000000"/>
      </left>
      <right style="thin">
        <color theme="1" tint="0.499984740745262"/>
      </right>
      <top style="thin">
        <color theme="1" tint="0.499984740745262"/>
      </top>
      <bottom style="thin">
        <color rgb="FF000000"/>
      </bottom>
      <diagonal/>
    </border>
    <border>
      <left style="thin">
        <color theme="1" tint="0.499984740745262"/>
      </left>
      <right style="thin">
        <color rgb="FF000000"/>
      </right>
      <top style="thin">
        <color rgb="FF000000"/>
      </top>
      <bottom style="thin">
        <color rgb="FF000000"/>
      </bottom>
      <diagonal/>
    </border>
    <border>
      <left style="thin">
        <color rgb="FF000000"/>
      </left>
      <right style="thin">
        <color theme="1" tint="0.499984740745262"/>
      </right>
      <top style="thin">
        <color rgb="FF000000"/>
      </top>
      <bottom style="thin">
        <color rgb="FF000000"/>
      </bottom>
      <diagonal/>
    </border>
    <border>
      <left style="thin">
        <color theme="1" tint="0.499984740745262"/>
      </left>
      <right style="thin">
        <color rgb="FF000000"/>
      </right>
      <top style="thin">
        <color rgb="FF000000"/>
      </top>
      <bottom style="thin">
        <color theme="1" tint="0.499984740745262"/>
      </bottom>
      <diagonal/>
    </border>
    <border>
      <left style="thin">
        <color rgb="FF000000"/>
      </left>
      <right style="thin">
        <color theme="1" tint="0.499984740745262"/>
      </right>
      <top style="thin">
        <color rgb="FF000000"/>
      </top>
      <bottom style="thin">
        <color theme="1" tint="0.499984740745262"/>
      </bottom>
      <diagonal/>
    </border>
    <border>
      <left/>
      <right/>
      <top style="thin">
        <color theme="1" tint="0.499984740745262"/>
      </top>
      <bottom style="thin">
        <color rgb="FF000000"/>
      </bottom>
      <diagonal/>
    </border>
    <border>
      <left/>
      <right/>
      <top style="thin">
        <color rgb="FF000000"/>
      </top>
      <bottom style="thin">
        <color rgb="FF000000"/>
      </bottom>
      <diagonal/>
    </border>
    <border>
      <left/>
      <right/>
      <top style="thin">
        <color rgb="FF000000"/>
      </top>
      <bottom style="thin">
        <color theme="1" tint="0.499984740745262"/>
      </bottom>
      <diagonal/>
    </border>
    <border>
      <left style="thin">
        <color rgb="FF000000"/>
      </left>
      <right style="thin">
        <color rgb="FF000000"/>
      </right>
      <top style="thin">
        <color theme="1" tint="0.499984740745262"/>
      </top>
      <bottom style="thin">
        <color rgb="FF000000"/>
      </bottom>
      <diagonal/>
    </border>
    <border>
      <left style="thin">
        <color rgb="FF000000"/>
      </left>
      <right style="thin">
        <color rgb="FF000000"/>
      </right>
      <top style="thin">
        <color rgb="FF000000"/>
      </top>
      <bottom style="thin">
        <color theme="1" tint="0.49998474074526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diagonal/>
    </border>
    <border>
      <left/>
      <right style="thin">
        <color theme="2" tint="-9.9978637043366805E-2"/>
      </right>
      <top/>
      <bottom style="thin">
        <color theme="2" tint="-9.9978637043366805E-2"/>
      </bottom>
      <diagonal/>
    </border>
    <border>
      <left style="thin">
        <color theme="2" tint="-0.499984740745262"/>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bottom/>
      <diagonal/>
    </border>
    <border>
      <left/>
      <right style="thin">
        <color theme="2" tint="-0.499984740745262"/>
      </right>
      <top/>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right/>
      <top style="thin">
        <color theme="2" tint="-0.499984740745262"/>
      </top>
      <bottom/>
      <diagonal/>
    </border>
    <border>
      <left/>
      <right/>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1" tint="0.499984740745262"/>
      </left>
      <right style="thin">
        <color theme="2" tint="-0.499984740745262"/>
      </right>
      <top style="thin">
        <color theme="1" tint="0.499984740745262"/>
      </top>
      <bottom style="thin">
        <color theme="2" tint="-0.499984740745262"/>
      </bottom>
      <diagonal/>
    </border>
    <border>
      <left style="thin">
        <color theme="2" tint="-0.499984740745262"/>
      </left>
      <right style="thin">
        <color theme="1" tint="0.499984740745262"/>
      </right>
      <top style="thin">
        <color theme="1" tint="0.499984740745262"/>
      </top>
      <bottom style="thin">
        <color theme="2" tint="-0.499984740745262"/>
      </bottom>
      <diagonal/>
    </border>
    <border>
      <left style="thin">
        <color theme="1"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1" tint="0.499984740745262"/>
      </right>
      <top style="thin">
        <color theme="2" tint="-0.499984740745262"/>
      </top>
      <bottom style="thin">
        <color theme="2" tint="-0.499984740745262"/>
      </bottom>
      <diagonal/>
    </border>
    <border>
      <left style="thin">
        <color theme="1" tint="0.499984740745262"/>
      </left>
      <right/>
      <top/>
      <bottom style="thin">
        <color rgb="FF000000"/>
      </bottom>
      <diagonal/>
    </border>
    <border>
      <left/>
      <right style="thin">
        <color theme="1" tint="0.499984740745262"/>
      </right>
      <top/>
      <bottom style="thin">
        <color rgb="FF000000"/>
      </bottom>
      <diagonal/>
    </border>
    <border>
      <left style="thin">
        <color theme="2" tint="-0.249977111117893"/>
      </left>
      <right/>
      <top/>
      <bottom style="thin">
        <color theme="2" tint="-0.249977111117893"/>
      </bottom>
      <diagonal/>
    </border>
    <border>
      <left/>
      <right style="thin">
        <color theme="2" tint="-0.249977111117893"/>
      </right>
      <top/>
      <bottom/>
      <diagonal/>
    </border>
    <border>
      <left/>
      <right/>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style="thin">
        <color theme="2" tint="-0.249977111117893"/>
      </left>
      <right style="thin">
        <color theme="2" tint="-0.249977111117893"/>
      </right>
      <top/>
      <bottom/>
      <diagonal/>
    </border>
    <border>
      <left style="thin">
        <color theme="2" tint="-9.9978637043366805E-2"/>
      </left>
      <right/>
      <top/>
      <bottom/>
      <diagonal/>
    </border>
    <border>
      <left style="thin">
        <color theme="2" tint="-9.9978637043366805E-2"/>
      </left>
      <right style="thin">
        <color theme="2" tint="-9.9978637043366805E-2"/>
      </right>
      <top style="thin">
        <color theme="2" tint="-9.9978637043366805E-2"/>
      </top>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diagonal/>
    </border>
    <border>
      <left style="thin">
        <color theme="0" tint="-0.14999847407452621"/>
      </left>
      <right/>
      <top/>
      <bottom style="thin">
        <color theme="0" tint="-0.14999847407452621"/>
      </bottom>
      <diagonal/>
    </border>
    <border>
      <left style="thin">
        <color theme="0" tint="-0.14999847407452621"/>
      </left>
      <right/>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right/>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style="medium">
        <color auto="1"/>
      </left>
      <right/>
      <top style="medium">
        <color auto="1"/>
      </top>
      <bottom/>
      <diagonal/>
    </border>
    <border>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rgb="FF000000"/>
      </top>
      <bottom style="medium">
        <color rgb="FF000000"/>
      </bottom>
      <diagonal/>
    </border>
    <border>
      <left style="thin">
        <color auto="1"/>
      </left>
      <right style="thin">
        <color auto="1"/>
      </right>
      <top style="thin">
        <color auto="1"/>
      </top>
      <bottom style="medium">
        <color auto="1"/>
      </bottom>
      <diagonal/>
    </border>
    <border>
      <left/>
      <right/>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style="thin">
        <color auto="1"/>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rgb="FF000000"/>
      </left>
      <right style="thin">
        <color auto="1"/>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style="medium">
        <color rgb="FF000000"/>
      </right>
      <top style="medium">
        <color rgb="FF000000"/>
      </top>
      <bottom style="medium">
        <color rgb="FF000000"/>
      </bottom>
      <diagonal/>
    </border>
    <border>
      <left/>
      <right style="thin">
        <color auto="1"/>
      </right>
      <top/>
      <bottom style="thin">
        <color auto="1"/>
      </bottom>
      <diagonal/>
    </border>
    <border>
      <left style="thin">
        <color theme="2" tint="-9.9978637043366805E-2"/>
      </left>
      <right style="thin">
        <color theme="2" tint="-9.9978637043366805E-2"/>
      </right>
      <top/>
      <bottom style="thin">
        <color theme="2" tint="-9.9978637043366805E-2"/>
      </bottom>
      <diagonal/>
    </border>
    <border>
      <left/>
      <right style="medium">
        <color rgb="FF000000"/>
      </right>
      <top style="medium">
        <color indexed="64"/>
      </top>
      <bottom style="thin">
        <color indexed="64"/>
      </bottom>
      <diagonal/>
    </border>
    <border>
      <left/>
      <right/>
      <top style="thin">
        <color auto="1"/>
      </top>
      <bottom/>
      <diagonal/>
    </border>
    <border>
      <left style="medium">
        <color indexed="64"/>
      </left>
      <right/>
      <top style="thin">
        <color auto="1"/>
      </top>
      <bottom/>
      <diagonal/>
    </border>
    <border>
      <left/>
      <right style="medium">
        <color rgb="FF000000"/>
      </right>
      <top style="thin">
        <color indexed="64"/>
      </top>
      <bottom style="medium">
        <color rgb="FF000000"/>
      </bottom>
      <diagonal/>
    </border>
    <border>
      <left/>
      <right style="medium">
        <color rgb="FF000000"/>
      </right>
      <top style="thin">
        <color indexed="64"/>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rgb="FF000000"/>
      </right>
      <top style="medium">
        <color indexed="64"/>
      </top>
      <bottom/>
      <diagonal/>
    </border>
    <border>
      <left style="thin">
        <color auto="1"/>
      </left>
      <right/>
      <top/>
      <bottom/>
      <diagonal/>
    </border>
    <border>
      <left style="medium">
        <color indexed="64"/>
      </left>
      <right style="thin">
        <color indexed="64"/>
      </right>
      <top/>
      <bottom style="thin">
        <color indexed="64"/>
      </bottom>
      <diagonal/>
    </border>
    <border>
      <left style="thin">
        <color auto="1"/>
      </left>
      <right/>
      <top style="thin">
        <color auto="1"/>
      </top>
      <bottom/>
      <diagonal/>
    </border>
    <border>
      <left/>
      <right style="medium">
        <color rgb="FF000000"/>
      </right>
      <top style="thin">
        <color indexed="64"/>
      </top>
      <bottom style="medium">
        <color indexed="64"/>
      </bottom>
      <diagonal/>
    </border>
    <border>
      <left/>
      <right style="thin">
        <color rgb="FF000000"/>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bottom style="medium">
        <color rgb="FF000000"/>
      </bottom>
      <diagonal/>
    </border>
    <border>
      <left/>
      <right/>
      <top style="medium">
        <color rgb="FF000000"/>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000000"/>
      </left>
      <right/>
      <top/>
      <bottom/>
      <diagonal/>
    </border>
    <border>
      <left/>
      <right style="thin">
        <color indexed="64"/>
      </right>
      <top/>
      <bottom style="medium">
        <color rgb="FF000000"/>
      </bottom>
      <diagonal/>
    </border>
    <border>
      <left/>
      <right style="thin">
        <color indexed="64"/>
      </right>
      <top/>
      <bottom/>
      <diagonal/>
    </border>
    <border>
      <left style="thin">
        <color indexed="64"/>
      </left>
      <right style="thin">
        <color indexed="64"/>
      </right>
      <top/>
      <bottom style="medium">
        <color rgb="FF000000"/>
      </bottom>
      <diagonal/>
    </border>
    <border>
      <left style="thin">
        <color indexed="64"/>
      </left>
      <right style="thin">
        <color indexed="64"/>
      </right>
      <top/>
      <bottom/>
      <diagonal/>
    </border>
    <border>
      <left style="thin">
        <color indexed="64"/>
      </left>
      <right style="medium">
        <color indexed="64"/>
      </right>
      <top/>
      <bottom style="medium">
        <color rgb="FF000000"/>
      </bottom>
      <diagonal/>
    </border>
    <border>
      <left style="thin">
        <color indexed="64"/>
      </left>
      <right style="medium">
        <color indexed="64"/>
      </right>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rgb="FF000000"/>
      </bottom>
      <diagonal/>
    </border>
    <border>
      <left style="thin">
        <color indexed="64"/>
      </left>
      <right/>
      <top/>
      <bottom style="medium">
        <color rgb="FF000000"/>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style="thin">
        <color auto="1"/>
      </bottom>
      <diagonal/>
    </border>
    <border>
      <left/>
      <right style="medium">
        <color rgb="FF000000"/>
      </right>
      <top style="medium">
        <color rgb="FF000000"/>
      </top>
      <bottom style="thin">
        <color indexed="64"/>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medium">
        <color rgb="FF000000"/>
      </left>
      <right style="thin">
        <color indexed="64"/>
      </right>
      <top/>
      <bottom style="thin">
        <color indexed="64"/>
      </bottom>
      <diagonal/>
    </border>
    <border>
      <left/>
      <right/>
      <top style="thin">
        <color auto="1"/>
      </top>
      <bottom style="medium">
        <color rgb="FF000000"/>
      </bottom>
      <diagonal/>
    </border>
    <border>
      <left/>
      <right style="thin">
        <color auto="1"/>
      </right>
      <top style="thin">
        <color auto="1"/>
      </top>
      <bottom style="medium">
        <color rgb="FF000000"/>
      </bottom>
      <diagonal/>
    </border>
    <border>
      <left style="medium">
        <color auto="1"/>
      </left>
      <right style="medium">
        <color auto="1"/>
      </right>
      <top style="medium">
        <color auto="1"/>
      </top>
      <bottom/>
      <diagonal/>
    </border>
    <border>
      <left style="thin">
        <color rgb="FF000000"/>
      </left>
      <right/>
      <top style="thin">
        <color rgb="FF000000"/>
      </top>
      <bottom style="thin">
        <color rgb="FF000000"/>
      </bottom>
      <diagonal/>
    </border>
    <border>
      <left/>
      <right style="thin">
        <color indexed="64"/>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bottom style="thin">
        <color auto="1"/>
      </bottom>
      <diagonal/>
    </border>
    <border>
      <left style="medium">
        <color rgb="FF000000"/>
      </left>
      <right/>
      <top style="thin">
        <color auto="1"/>
      </top>
      <bottom style="medium">
        <color rgb="FF000000"/>
      </bottom>
      <diagonal/>
    </border>
    <border>
      <left style="thin">
        <color rgb="FF000000"/>
      </left>
      <right/>
      <top style="thin">
        <color rgb="FF000000"/>
      </top>
      <bottom style="medium">
        <color rgb="FF000000"/>
      </bottom>
      <diagonal/>
    </border>
    <border>
      <left/>
      <right style="medium">
        <color rgb="FF000000"/>
      </right>
      <top/>
      <bottom style="thin">
        <color rgb="FF000000"/>
      </bottom>
      <diagonal/>
    </border>
    <border>
      <left style="thin">
        <color indexed="64"/>
      </left>
      <right/>
      <top/>
      <bottom style="thin">
        <color rgb="FF000000"/>
      </bottom>
      <diagonal/>
    </border>
    <border>
      <left/>
      <right/>
      <top style="thin">
        <color rgb="FF000000"/>
      </top>
      <bottom style="thin">
        <color auto="1"/>
      </bottom>
      <diagonal/>
    </border>
    <border>
      <left/>
      <right style="thin">
        <color auto="1"/>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style="thin">
        <color rgb="FF000000"/>
      </left>
      <right/>
      <top style="thin">
        <color auto="1"/>
      </top>
      <bottom style="thin">
        <color auto="1"/>
      </bottom>
      <diagonal/>
    </border>
    <border>
      <left style="thin">
        <color rgb="FF000000"/>
      </left>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s>
  <cellStyleXfs count="4">
    <xf numFmtId="0" fontId="0" fillId="0" borderId="0"/>
    <xf numFmtId="9" fontId="30" fillId="0" borderId="0" applyFont="0" applyFill="0" applyBorder="0" applyAlignment="0" applyProtection="0"/>
    <xf numFmtId="0" fontId="55" fillId="0" borderId="0" applyNumberFormat="0" applyFill="0" applyBorder="0" applyAlignment="0" applyProtection="0"/>
    <xf numFmtId="9" fontId="62" fillId="0" borderId="0" applyFont="0" applyFill="0" applyBorder="0" applyAlignment="0" applyProtection="0"/>
  </cellStyleXfs>
  <cellXfs count="1093">
    <xf numFmtId="0" fontId="0" fillId="0" borderId="0" xfId="0"/>
    <xf numFmtId="0" fontId="0" fillId="0" borderId="0" xfId="0" applyAlignment="1">
      <alignment horizontal="center" vertical="center"/>
    </xf>
    <xf numFmtId="0" fontId="0" fillId="0" borderId="0" xfId="0" applyAlignment="1">
      <alignment vertical="center"/>
    </xf>
    <xf numFmtId="0" fontId="2" fillId="0" borderId="0" xfId="0" applyFont="1" applyAlignment="1">
      <alignment vertical="center"/>
    </xf>
    <xf numFmtId="0" fontId="0" fillId="0" borderId="3" xfId="0" applyBorder="1"/>
    <xf numFmtId="0" fontId="0" fillId="0" borderId="4" xfId="0" applyBorder="1"/>
    <xf numFmtId="0" fontId="0" fillId="0" borderId="5" xfId="0" applyBorder="1"/>
    <xf numFmtId="0" fontId="0" fillId="0" borderId="2"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vertical="center" wrapText="1"/>
    </xf>
    <xf numFmtId="0" fontId="1" fillId="0" borderId="0" xfId="0" applyFont="1" applyAlignment="1">
      <alignment horizontal="right"/>
    </xf>
    <xf numFmtId="0" fontId="1" fillId="0" borderId="0" xfId="0" applyFont="1" applyAlignment="1">
      <alignment horizontal="center" vertical="center"/>
    </xf>
    <xf numFmtId="0" fontId="0" fillId="0" borderId="10" xfId="0" applyBorder="1"/>
    <xf numFmtId="0" fontId="0" fillId="0" borderId="10" xfId="0" applyBorder="1" applyAlignment="1">
      <alignment horizontal="center" vertical="center"/>
    </xf>
    <xf numFmtId="0" fontId="0" fillId="0" borderId="14" xfId="0" applyBorder="1"/>
    <xf numFmtId="0" fontId="0" fillId="0" borderId="13" xfId="0" applyBorder="1"/>
    <xf numFmtId="0" fontId="1" fillId="3" borderId="10" xfId="0" applyFont="1" applyFill="1" applyBorder="1" applyAlignment="1">
      <alignment horizontal="right" vertical="center"/>
    </xf>
    <xf numFmtId="0" fontId="1" fillId="3" borderId="17" xfId="0" applyFont="1" applyFill="1" applyBorder="1" applyAlignment="1">
      <alignment horizontal="center" vertical="center"/>
    </xf>
    <xf numFmtId="0" fontId="1" fillId="3" borderId="15" xfId="0" applyFont="1" applyFill="1" applyBorder="1" applyAlignment="1">
      <alignment horizontal="right" vertical="center"/>
    </xf>
    <xf numFmtId="0" fontId="1" fillId="3" borderId="11" xfId="0" applyFont="1" applyFill="1" applyBorder="1" applyAlignment="1">
      <alignment horizontal="right" vertical="center"/>
    </xf>
    <xf numFmtId="0" fontId="1" fillId="3" borderId="13" xfId="0" applyFont="1" applyFill="1" applyBorder="1" applyAlignment="1">
      <alignment horizontal="right" vertical="center"/>
    </xf>
    <xf numFmtId="0" fontId="1" fillId="2" borderId="18" xfId="0" applyFont="1" applyFill="1" applyBorder="1" applyAlignment="1">
      <alignment horizontal="center" vertical="center"/>
    </xf>
    <xf numFmtId="0" fontId="0" fillId="0" borderId="0" xfId="0" applyAlignment="1">
      <alignment horizontal="center"/>
    </xf>
    <xf numFmtId="0" fontId="0" fillId="0" borderId="10" xfId="0" applyBorder="1" applyAlignment="1">
      <alignment horizontal="left"/>
    </xf>
    <xf numFmtId="0" fontId="1" fillId="5" borderId="10" xfId="0" applyFont="1" applyFill="1" applyBorder="1" applyAlignment="1">
      <alignment horizontal="right" vertical="center"/>
    </xf>
    <xf numFmtId="0" fontId="1" fillId="5" borderId="17" xfId="0" applyFont="1" applyFill="1" applyBorder="1" applyAlignment="1">
      <alignment horizontal="right" vertical="center"/>
    </xf>
    <xf numFmtId="0" fontId="0" fillId="0" borderId="12" xfId="0" applyBorder="1" applyAlignment="1">
      <alignment horizontal="center" vertical="center"/>
    </xf>
    <xf numFmtId="0" fontId="0" fillId="0" borderId="15" xfId="0" applyBorder="1" applyAlignment="1">
      <alignment horizontal="center" vertical="center"/>
    </xf>
    <xf numFmtId="0" fontId="7" fillId="0" borderId="0" xfId="0" applyFont="1"/>
    <xf numFmtId="0" fontId="1" fillId="0" borderId="0" xfId="0" applyFont="1"/>
    <xf numFmtId="0" fontId="0" fillId="0" borderId="11" xfId="0" applyBorder="1" applyAlignment="1">
      <alignment horizontal="left"/>
    </xf>
    <xf numFmtId="0" fontId="0" fillId="0" borderId="12" xfId="0" applyBorder="1" applyAlignment="1">
      <alignment horizontal="left"/>
    </xf>
    <xf numFmtId="0" fontId="9" fillId="0" borderId="0" xfId="0" applyFont="1" applyAlignment="1">
      <alignment horizontal="center"/>
    </xf>
    <xf numFmtId="0" fontId="1" fillId="0" borderId="0" xfId="0" applyFont="1" applyAlignment="1">
      <alignment horizontal="center"/>
    </xf>
    <xf numFmtId="0" fontId="0" fillId="0" borderId="19" xfId="0" applyBorder="1" applyAlignment="1">
      <alignment horizontal="center" vertical="center"/>
    </xf>
    <xf numFmtId="0" fontId="0" fillId="0" borderId="23" xfId="0" applyBorder="1" applyAlignment="1">
      <alignment horizontal="center" vertical="center"/>
    </xf>
    <xf numFmtId="0" fontId="10" fillId="0" borderId="0" xfId="0" applyFont="1" applyAlignment="1">
      <alignment horizontal="left" vertical="top" wrapText="1"/>
    </xf>
    <xf numFmtId="0" fontId="0" fillId="0" borderId="16" xfId="0" applyBorder="1"/>
    <xf numFmtId="0" fontId="0" fillId="0" borderId="19" xfId="0" applyBorder="1"/>
    <xf numFmtId="0" fontId="0" fillId="0" borderId="22" xfId="0" applyBorder="1"/>
    <xf numFmtId="0" fontId="0" fillId="0" borderId="22" xfId="0" applyBorder="1" applyAlignment="1">
      <alignment horizontal="center"/>
    </xf>
    <xf numFmtId="0" fontId="0" fillId="0" borderId="23" xfId="0" applyBorder="1"/>
    <xf numFmtId="0" fontId="0" fillId="0" borderId="24" xfId="0" applyBorder="1"/>
    <xf numFmtId="0" fontId="1" fillId="0" borderId="3" xfId="0" applyFont="1" applyBorder="1"/>
    <xf numFmtId="0" fontId="12" fillId="0" borderId="0" xfId="0" applyFont="1" applyAlignment="1">
      <alignment horizontal="left" vertical="top" wrapText="1"/>
    </xf>
    <xf numFmtId="0" fontId="12" fillId="0" borderId="6" xfId="0" applyFont="1" applyBorder="1" applyAlignment="1">
      <alignment horizontal="left" vertical="top" wrapText="1"/>
    </xf>
    <xf numFmtId="0" fontId="12" fillId="0" borderId="0" xfId="0" applyFont="1" applyAlignment="1">
      <alignment vertical="top" wrapText="1"/>
    </xf>
    <xf numFmtId="0" fontId="0" fillId="0" borderId="0" xfId="0" applyAlignment="1">
      <alignment horizontal="left"/>
    </xf>
    <xf numFmtId="0" fontId="0" fillId="0" borderId="10" xfId="0" applyBorder="1" applyAlignment="1">
      <alignment horizontal="left" vertical="center"/>
    </xf>
    <xf numFmtId="0" fontId="0" fillId="0" borderId="16" xfId="0" applyBorder="1" applyAlignment="1">
      <alignment horizontal="center" vertical="center"/>
    </xf>
    <xf numFmtId="0" fontId="0" fillId="0" borderId="18" xfId="0" applyBorder="1" applyAlignment="1">
      <alignment horizontal="left"/>
    </xf>
    <xf numFmtId="0" fontId="0" fillId="0" borderId="17" xfId="0" applyBorder="1" applyAlignment="1">
      <alignment horizontal="left"/>
    </xf>
    <xf numFmtId="0" fontId="0" fillId="2" borderId="12" xfId="0" applyFill="1" applyBorder="1"/>
    <xf numFmtId="0" fontId="0" fillId="0" borderId="21" xfId="0" applyBorder="1" applyAlignment="1">
      <alignment horizontal="left"/>
    </xf>
    <xf numFmtId="0" fontId="0" fillId="2" borderId="15" xfId="0" applyFill="1" applyBorder="1"/>
    <xf numFmtId="0" fontId="0" fillId="2" borderId="16" xfId="0" applyFill="1" applyBorder="1"/>
    <xf numFmtId="0" fontId="0" fillId="0" borderId="16" xfId="0" applyBorder="1" applyAlignment="1">
      <alignment horizontal="left"/>
    </xf>
    <xf numFmtId="0" fontId="0" fillId="6" borderId="10" xfId="0" applyFill="1" applyBorder="1" applyAlignment="1">
      <alignment horizontal="center" vertical="center"/>
    </xf>
    <xf numFmtId="0" fontId="0" fillId="0" borderId="13" xfId="0" applyBorder="1" applyAlignment="1">
      <alignment horizontal="left"/>
    </xf>
    <xf numFmtId="0" fontId="0" fillId="0" borderId="24" xfId="0" applyBorder="1" applyAlignment="1">
      <alignment horizontal="left"/>
    </xf>
    <xf numFmtId="0" fontId="9" fillId="2" borderId="10" xfId="0" applyFont="1" applyFill="1" applyBorder="1" applyAlignment="1">
      <alignment horizontal="center"/>
    </xf>
    <xf numFmtId="0" fontId="0" fillId="2" borderId="21" xfId="0" applyFill="1" applyBorder="1"/>
    <xf numFmtId="0" fontId="1" fillId="2" borderId="0" xfId="0" applyFont="1" applyFill="1" applyAlignment="1">
      <alignment horizontal="center"/>
    </xf>
    <xf numFmtId="0" fontId="0" fillId="2" borderId="13" xfId="0" applyFill="1" applyBorder="1"/>
    <xf numFmtId="0" fontId="1" fillId="2" borderId="21" xfId="0" applyFont="1" applyFill="1" applyBorder="1" applyAlignment="1">
      <alignment horizontal="center"/>
    </xf>
    <xf numFmtId="0" fontId="18" fillId="7" borderId="15" xfId="0" applyFont="1" applyFill="1" applyBorder="1" applyAlignment="1">
      <alignment horizontal="center" vertical="center"/>
    </xf>
    <xf numFmtId="0" fontId="18" fillId="7" borderId="10" xfId="0" applyFont="1" applyFill="1" applyBorder="1" applyAlignment="1">
      <alignment horizontal="center" vertical="center" indent="2"/>
    </xf>
    <xf numFmtId="0" fontId="18" fillId="7" borderId="12" xfId="0" applyFont="1" applyFill="1" applyBorder="1" applyAlignment="1">
      <alignment vertical="center" indent="2"/>
    </xf>
    <xf numFmtId="0" fontId="18" fillId="7" borderId="11" xfId="0" applyFont="1" applyFill="1" applyBorder="1" applyAlignment="1">
      <alignment horizontal="left" vertical="center" indent="3"/>
    </xf>
    <xf numFmtId="0" fontId="18" fillId="7" borderId="11" xfId="0" applyFont="1" applyFill="1" applyBorder="1" applyAlignment="1">
      <alignment vertical="center" indent="2"/>
    </xf>
    <xf numFmtId="0" fontId="0" fillId="8" borderId="3" xfId="0" applyFill="1" applyBorder="1"/>
    <xf numFmtId="0" fontId="0" fillId="8" borderId="4" xfId="0" applyFill="1" applyBorder="1"/>
    <xf numFmtId="0" fontId="0" fillId="8" borderId="5" xfId="0" applyFill="1" applyBorder="1"/>
    <xf numFmtId="0" fontId="0" fillId="8" borderId="2" xfId="0" applyFill="1" applyBorder="1"/>
    <xf numFmtId="0" fontId="0" fillId="8" borderId="0" xfId="0" applyFill="1"/>
    <xf numFmtId="0" fontId="0" fillId="8" borderId="6" xfId="0" applyFill="1" applyBorder="1"/>
    <xf numFmtId="0" fontId="0" fillId="8" borderId="6" xfId="0" applyFill="1" applyBorder="1" applyAlignment="1">
      <alignment horizontal="center" vertical="center" wrapText="1"/>
    </xf>
    <xf numFmtId="0" fontId="0" fillId="8" borderId="7" xfId="0" applyFill="1" applyBorder="1"/>
    <xf numFmtId="0" fontId="0" fillId="8" borderId="8" xfId="0" applyFill="1" applyBorder="1"/>
    <xf numFmtId="0" fontId="0" fillId="8" borderId="9" xfId="0" applyFill="1" applyBorder="1"/>
    <xf numFmtId="0" fontId="18" fillId="7" borderId="11" xfId="0" applyFont="1" applyFill="1" applyBorder="1" applyAlignment="1">
      <alignment horizontal="center" vertical="center" indent="2"/>
    </xf>
    <xf numFmtId="0" fontId="0" fillId="0" borderId="12" xfId="0" applyBorder="1" applyAlignment="1">
      <alignment horizontal="left" indent="2"/>
    </xf>
    <xf numFmtId="0" fontId="1" fillId="0" borderId="12" xfId="0" applyFont="1" applyBorder="1" applyAlignment="1">
      <alignment horizontal="center" vertical="center"/>
    </xf>
    <xf numFmtId="0" fontId="19" fillId="0" borderId="12" xfId="0" applyFont="1" applyBorder="1" applyAlignment="1">
      <alignment horizontal="center" vertical="center"/>
    </xf>
    <xf numFmtId="0" fontId="0" fillId="0" borderId="16" xfId="0" applyBorder="1" applyAlignment="1">
      <alignment horizontal="left" indent="2"/>
    </xf>
    <xf numFmtId="0" fontId="0" fillId="2" borderId="10" xfId="0" applyFill="1" applyBorder="1"/>
    <xf numFmtId="0" fontId="19" fillId="0" borderId="10" xfId="0" applyFont="1" applyBorder="1" applyAlignment="1">
      <alignment horizontal="center" vertical="center"/>
    </xf>
    <xf numFmtId="0" fontId="1" fillId="0" borderId="11" xfId="0" applyFont="1" applyBorder="1" applyAlignment="1">
      <alignment horizontal="center" vertical="center" indent="2"/>
    </xf>
    <xf numFmtId="0" fontId="1" fillId="0" borderId="12" xfId="0" applyFont="1" applyBorder="1" applyAlignment="1">
      <alignment horizontal="center" vertical="center" indent="2"/>
    </xf>
    <xf numFmtId="0" fontId="1" fillId="0" borderId="12" xfId="0" applyFont="1" applyBorder="1" applyAlignment="1">
      <alignment horizontal="left" vertical="center"/>
    </xf>
    <xf numFmtId="0" fontId="0" fillId="0" borderId="10" xfId="0" applyBorder="1" applyAlignment="1">
      <alignment horizontal="center"/>
    </xf>
    <xf numFmtId="0" fontId="0" fillId="0" borderId="11" xfId="0" applyBorder="1" applyAlignment="1">
      <alignment horizontal="left" vertical="center"/>
    </xf>
    <xf numFmtId="0" fontId="0" fillId="0" borderId="21" xfId="0" applyBorder="1" applyAlignment="1">
      <alignment horizontal="left" indent="2"/>
    </xf>
    <xf numFmtId="0" fontId="0" fillId="0" borderId="17" xfId="0" applyBorder="1" applyAlignment="1">
      <alignment horizontal="center" vertical="center"/>
    </xf>
    <xf numFmtId="0" fontId="0" fillId="2" borderId="11" xfId="0" applyFill="1" applyBorder="1" applyAlignment="1">
      <alignment horizontal="center" vertical="center"/>
    </xf>
    <xf numFmtId="164" fontId="0" fillId="2" borderId="10" xfId="0" applyNumberFormat="1" applyFill="1" applyBorder="1" applyAlignment="1">
      <alignment horizontal="center"/>
    </xf>
    <xf numFmtId="0" fontId="0" fillId="2" borderId="10" xfId="0" applyFill="1" applyBorder="1" applyAlignment="1">
      <alignment horizontal="center"/>
    </xf>
    <xf numFmtId="1" fontId="0" fillId="0" borderId="10" xfId="0" applyNumberFormat="1" applyBorder="1" applyAlignment="1">
      <alignment horizontal="center"/>
    </xf>
    <xf numFmtId="0" fontId="1" fillId="2" borderId="21" xfId="0" applyFont="1" applyFill="1" applyBorder="1"/>
    <xf numFmtId="0" fontId="1" fillId="2" borderId="12" xfId="0" applyFont="1" applyFill="1" applyBorder="1"/>
    <xf numFmtId="0" fontId="1" fillId="2" borderId="10" xfId="0" applyFont="1" applyFill="1" applyBorder="1" applyAlignment="1">
      <alignment horizontal="center"/>
    </xf>
    <xf numFmtId="0" fontId="0" fillId="0" borderId="17" xfId="0" applyBorder="1" applyAlignment="1">
      <alignment horizontal="center"/>
    </xf>
    <xf numFmtId="0" fontId="0" fillId="2" borderId="11" xfId="0" applyFill="1" applyBorder="1"/>
    <xf numFmtId="9" fontId="0" fillId="0" borderId="0" xfId="0" applyNumberFormat="1" applyAlignment="1">
      <alignment horizontal="center" vertical="center"/>
    </xf>
    <xf numFmtId="0" fontId="21" fillId="0" borderId="11" xfId="0" applyFont="1" applyBorder="1" applyAlignment="1">
      <alignment horizontal="left" vertical="center"/>
    </xf>
    <xf numFmtId="0" fontId="0" fillId="0" borderId="22" xfId="0" applyBorder="1" applyAlignment="1">
      <alignment vertical="center"/>
    </xf>
    <xf numFmtId="0" fontId="21" fillId="0" borderId="10" xfId="0" applyFont="1" applyBorder="1" applyAlignment="1">
      <alignment horizontal="center" vertical="center"/>
    </xf>
    <xf numFmtId="0" fontId="21" fillId="0" borderId="18" xfId="0" applyFont="1" applyBorder="1" applyAlignment="1">
      <alignment horizontal="center" vertical="center"/>
    </xf>
    <xf numFmtId="0" fontId="0" fillId="0" borderId="20" xfId="0" applyBorder="1" applyAlignment="1">
      <alignment vertical="center"/>
    </xf>
    <xf numFmtId="0" fontId="22" fillId="0" borderId="10" xfId="0" applyFont="1" applyBorder="1" applyAlignment="1">
      <alignment horizontal="center" vertical="center"/>
    </xf>
    <xf numFmtId="0" fontId="9" fillId="2" borderId="12" xfId="0" applyFont="1" applyFill="1" applyBorder="1" applyAlignment="1">
      <alignment horizontal="center"/>
    </xf>
    <xf numFmtId="14" fontId="0" fillId="0" borderId="12" xfId="0" applyNumberFormat="1" applyBorder="1" applyAlignment="1">
      <alignment horizontal="center" vertical="center"/>
    </xf>
    <xf numFmtId="0" fontId="23" fillId="0" borderId="0" xfId="0" applyFont="1"/>
    <xf numFmtId="0" fontId="23" fillId="0" borderId="0" xfId="0" applyFont="1" applyAlignment="1">
      <alignment horizontal="center" vertical="center"/>
    </xf>
    <xf numFmtId="0" fontId="1" fillId="0" borderId="17" xfId="0" applyFont="1" applyBorder="1" applyAlignment="1">
      <alignment horizontal="center" vertical="center"/>
    </xf>
    <xf numFmtId="0" fontId="1" fillId="0" borderId="10" xfId="0" applyFont="1" applyBorder="1" applyAlignment="1">
      <alignment horizontal="center" vertical="center"/>
    </xf>
    <xf numFmtId="0" fontId="0" fillId="0" borderId="36" xfId="0" applyBorder="1" applyAlignment="1">
      <alignment horizontal="center" vertical="center"/>
    </xf>
    <xf numFmtId="0" fontId="1" fillId="0" borderId="36" xfId="0" applyFont="1" applyBorder="1" applyAlignment="1">
      <alignment horizontal="center" vertical="center"/>
    </xf>
    <xf numFmtId="0" fontId="23" fillId="10" borderId="0" xfId="0" applyFont="1" applyFill="1" applyAlignment="1">
      <alignment horizontal="center"/>
    </xf>
    <xf numFmtId="0" fontId="1" fillId="2" borderId="10" xfId="0" applyFont="1" applyFill="1" applyBorder="1" applyAlignment="1">
      <alignment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0" fontId="0" fillId="2" borderId="0" xfId="0" applyFill="1"/>
    <xf numFmtId="0" fontId="0" fillId="2" borderId="0" xfId="0" applyFill="1" applyAlignment="1">
      <alignment horizontal="center" vertical="center"/>
    </xf>
    <xf numFmtId="0" fontId="18" fillId="7" borderId="0" xfId="0" applyFont="1" applyFill="1" applyAlignment="1">
      <alignment horizontal="center" vertical="center"/>
    </xf>
    <xf numFmtId="0" fontId="18" fillId="7" borderId="0" xfId="0" applyFont="1" applyFill="1" applyAlignment="1">
      <alignment horizontal="center" vertical="center" wrapText="1"/>
    </xf>
    <xf numFmtId="9" fontId="1" fillId="2" borderId="0" xfId="0" applyNumberFormat="1" applyFont="1" applyFill="1" applyAlignment="1">
      <alignment horizontal="center" vertical="center"/>
    </xf>
    <xf numFmtId="0" fontId="31" fillId="0" borderId="0" xfId="0" applyFont="1"/>
    <xf numFmtId="0" fontId="31" fillId="0" borderId="0" xfId="0" applyFont="1" applyAlignment="1">
      <alignment horizontal="center" vertical="center"/>
    </xf>
    <xf numFmtId="9" fontId="32" fillId="0" borderId="0" xfId="1" applyFont="1" applyAlignment="1">
      <alignment horizontal="center" vertical="center"/>
    </xf>
    <xf numFmtId="9" fontId="33" fillId="0" borderId="0" xfId="0" applyNumberFormat="1" applyFont="1" applyAlignment="1">
      <alignment horizontal="center" vertical="center"/>
    </xf>
    <xf numFmtId="9" fontId="37" fillId="2" borderId="49" xfId="1" applyFont="1" applyFill="1" applyBorder="1" applyAlignment="1">
      <alignment horizontal="center" vertical="center"/>
    </xf>
    <xf numFmtId="9" fontId="39" fillId="2" borderId="49" xfId="1" applyFont="1" applyFill="1" applyBorder="1" applyAlignment="1">
      <alignment horizontal="center" vertical="center"/>
    </xf>
    <xf numFmtId="0" fontId="31" fillId="2" borderId="40" xfId="0" applyFont="1" applyFill="1" applyBorder="1"/>
    <xf numFmtId="1" fontId="32" fillId="11" borderId="40" xfId="1" applyNumberFormat="1" applyFont="1" applyFill="1" applyBorder="1" applyAlignment="1">
      <alignment horizontal="center" vertical="center"/>
    </xf>
    <xf numFmtId="9" fontId="37" fillId="11" borderId="49" xfId="0" applyNumberFormat="1" applyFont="1" applyFill="1" applyBorder="1" applyAlignment="1">
      <alignment horizontal="center" vertical="center"/>
    </xf>
    <xf numFmtId="9" fontId="39" fillId="11" borderId="49" xfId="0" applyNumberFormat="1" applyFont="1" applyFill="1" applyBorder="1" applyAlignment="1">
      <alignment horizontal="center" vertical="center"/>
    </xf>
    <xf numFmtId="0" fontId="31" fillId="12" borderId="40" xfId="0" applyFont="1" applyFill="1" applyBorder="1"/>
    <xf numFmtId="0" fontId="31" fillId="12" borderId="46" xfId="0" applyFont="1" applyFill="1" applyBorder="1" applyAlignment="1">
      <alignment horizontal="center" vertical="center"/>
    </xf>
    <xf numFmtId="0" fontId="34" fillId="12" borderId="42" xfId="0" applyFont="1" applyFill="1" applyBorder="1" applyAlignment="1">
      <alignment wrapText="1"/>
    </xf>
    <xf numFmtId="0" fontId="34" fillId="12" borderId="0" xfId="0" applyFont="1" applyFill="1" applyAlignment="1">
      <alignment horizontal="center" vertical="center" wrapText="1"/>
    </xf>
    <xf numFmtId="0" fontId="33" fillId="12" borderId="49" xfId="0" applyFont="1" applyFill="1" applyBorder="1" applyAlignment="1">
      <alignment horizontal="center" vertical="center"/>
    </xf>
    <xf numFmtId="0" fontId="1" fillId="12" borderId="49" xfId="0" applyFont="1" applyFill="1" applyBorder="1" applyAlignment="1">
      <alignment horizontal="left" vertical="center"/>
    </xf>
    <xf numFmtId="0" fontId="36" fillId="12" borderId="49" xfId="0" applyFont="1" applyFill="1" applyBorder="1" applyAlignment="1">
      <alignment horizontal="center" vertical="center"/>
    </xf>
    <xf numFmtId="0" fontId="40" fillId="12" borderId="0" xfId="0" applyFont="1" applyFill="1" applyAlignment="1">
      <alignment horizontal="center" vertical="center"/>
    </xf>
    <xf numFmtId="9" fontId="38" fillId="0" borderId="0" xfId="1" applyFont="1" applyAlignment="1">
      <alignment horizontal="center" vertical="center"/>
    </xf>
    <xf numFmtId="9" fontId="38" fillId="0" borderId="0" xfId="0" applyNumberFormat="1" applyFont="1" applyAlignment="1">
      <alignment horizontal="center" vertical="center"/>
    </xf>
    <xf numFmtId="9" fontId="37" fillId="2" borderId="48" xfId="1" applyFont="1" applyFill="1" applyBorder="1" applyAlignment="1">
      <alignment horizontal="center" vertical="center"/>
    </xf>
    <xf numFmtId="164" fontId="0" fillId="0" borderId="0" xfId="0" applyNumberFormat="1"/>
    <xf numFmtId="0" fontId="42" fillId="0" borderId="23" xfId="0" applyFont="1" applyBorder="1" applyAlignment="1">
      <alignment vertical="center" wrapText="1"/>
    </xf>
    <xf numFmtId="0" fontId="42" fillId="0" borderId="24" xfId="0" applyFont="1" applyBorder="1" applyAlignment="1">
      <alignment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horizontal="center" vertical="center"/>
    </xf>
    <xf numFmtId="0" fontId="10" fillId="0" borderId="59" xfId="0" applyFont="1" applyBorder="1" applyAlignment="1">
      <alignment horizontal="center" vertical="center"/>
    </xf>
    <xf numFmtId="0" fontId="47" fillId="0" borderId="63" xfId="0" applyFont="1" applyBorder="1" applyAlignment="1">
      <alignment horizontal="center" textRotation="90"/>
    </xf>
    <xf numFmtId="0" fontId="47" fillId="0" borderId="57" xfId="0" applyFont="1" applyBorder="1" applyAlignment="1">
      <alignment horizontal="center" textRotation="90"/>
    </xf>
    <xf numFmtId="0" fontId="0" fillId="0" borderId="59" xfId="0" applyBorder="1" applyAlignment="1">
      <alignment vertical="center"/>
    </xf>
    <xf numFmtId="0" fontId="48" fillId="7" borderId="0" xfId="0" applyFont="1" applyFill="1" applyAlignment="1">
      <alignment horizontal="center" vertical="center"/>
    </xf>
    <xf numFmtId="0" fontId="50" fillId="2" borderId="0" xfId="0" applyFont="1" applyFill="1"/>
    <xf numFmtId="9" fontId="0" fillId="15" borderId="36" xfId="0" applyNumberFormat="1" applyFill="1" applyBorder="1" applyAlignment="1">
      <alignment horizontal="center" vertical="center"/>
    </xf>
    <xf numFmtId="165" fontId="0" fillId="16" borderId="36" xfId="0" applyNumberFormat="1" applyFill="1" applyBorder="1" applyAlignment="1">
      <alignment horizontal="center" vertical="center"/>
    </xf>
    <xf numFmtId="0" fontId="1" fillId="15" borderId="0" xfId="0" applyFont="1" applyFill="1" applyAlignment="1">
      <alignment horizontal="center" vertical="center"/>
    </xf>
    <xf numFmtId="0" fontId="0" fillId="0" borderId="0" xfId="0" applyAlignment="1">
      <alignment vertical="top"/>
    </xf>
    <xf numFmtId="0" fontId="0" fillId="0" borderId="59" xfId="0" applyBorder="1" applyAlignment="1">
      <alignment horizontal="center" vertical="center"/>
      <extLst>
        <ext xmlns:xfpb="http://schemas.microsoft.com/office/spreadsheetml/2022/featurepropertybag" uri="{C7286773-470A-42A8-94C5-96B5CB345126}">
          <xfpb:xfComplement i="0"/>
        </ext>
      </extLst>
    </xf>
    <xf numFmtId="0" fontId="10" fillId="0" borderId="59" xfId="0" applyFont="1" applyBorder="1" applyAlignment="1">
      <alignment horizontal="left" vertical="center"/>
    </xf>
    <xf numFmtId="0" fontId="0" fillId="0" borderId="59" xfId="0" applyBorder="1" applyAlignment="1">
      <alignment horizontal="left" vertical="center" wrapText="1"/>
    </xf>
    <xf numFmtId="0" fontId="1" fillId="6" borderId="0" xfId="0" applyFont="1" applyFill="1" applyAlignment="1">
      <alignment horizontal="center"/>
    </xf>
    <xf numFmtId="0" fontId="0" fillId="0" borderId="0" xfId="0" applyAlignment="1">
      <alignment wrapText="1"/>
    </xf>
    <xf numFmtId="0" fontId="0" fillId="0" borderId="59" xfId="0" applyBorder="1" applyAlignment="1">
      <alignment horizontal="center" vertical="center"/>
    </xf>
    <xf numFmtId="164" fontId="1" fillId="14" borderId="59" xfId="0" applyNumberFormat="1" applyFont="1" applyFill="1" applyBorder="1" applyAlignment="1">
      <alignment horizontal="center" vertical="center" wrapText="1"/>
    </xf>
    <xf numFmtId="0" fontId="27" fillId="0" borderId="0" xfId="0" applyFont="1" applyAlignment="1">
      <alignment horizontal="center" vertical="center"/>
    </xf>
    <xf numFmtId="164" fontId="0" fillId="0" borderId="0" xfId="0" applyNumberFormat="1" applyAlignment="1">
      <alignment horizontal="center" vertical="center"/>
    </xf>
    <xf numFmtId="164" fontId="26" fillId="15" borderId="0" xfId="0" applyNumberFormat="1" applyFont="1" applyFill="1" applyAlignment="1">
      <alignment horizontal="center" vertical="center"/>
    </xf>
    <xf numFmtId="164" fontId="51" fillId="5" borderId="0" xfId="0" applyNumberFormat="1" applyFont="1" applyFill="1" applyAlignment="1">
      <alignment horizontal="center" vertical="center" wrapText="1"/>
    </xf>
    <xf numFmtId="0" fontId="18" fillId="7" borderId="59" xfId="0" applyFont="1" applyFill="1" applyBorder="1" applyAlignment="1">
      <alignment horizontal="center" indent="2"/>
    </xf>
    <xf numFmtId="0" fontId="1" fillId="11" borderId="59" xfId="0" applyFont="1" applyFill="1" applyBorder="1" applyAlignment="1">
      <alignment horizontal="center" textRotation="90" wrapText="1"/>
    </xf>
    <xf numFmtId="0" fontId="1" fillId="2" borderId="59" xfId="0" applyFont="1" applyFill="1" applyBorder="1" applyAlignment="1">
      <alignment horizontal="center" textRotation="90" wrapText="1"/>
    </xf>
    <xf numFmtId="0" fontId="1" fillId="6" borderId="59" xfId="0" applyFont="1" applyFill="1" applyBorder="1" applyAlignment="1">
      <alignment horizontal="center" textRotation="90" wrapText="1"/>
    </xf>
    <xf numFmtId="0" fontId="1" fillId="11" borderId="58" xfId="0" applyFont="1" applyFill="1" applyBorder="1" applyAlignment="1">
      <alignment textRotation="90" wrapText="1"/>
    </xf>
    <xf numFmtId="0" fontId="18" fillId="7" borderId="58" xfId="0" applyFont="1" applyFill="1" applyBorder="1" applyAlignment="1">
      <alignment horizontal="center" textRotation="90" wrapText="1"/>
    </xf>
    <xf numFmtId="0" fontId="1" fillId="11" borderId="58" xfId="0" applyFont="1" applyFill="1" applyBorder="1" applyAlignment="1">
      <alignment horizontal="center" textRotation="90" wrapText="1"/>
    </xf>
    <xf numFmtId="0" fontId="52" fillId="7" borderId="68" xfId="0" applyFont="1" applyFill="1" applyBorder="1" applyAlignment="1">
      <alignment horizontal="center" vertical="center"/>
    </xf>
    <xf numFmtId="0" fontId="18" fillId="7" borderId="69" xfId="0" applyFont="1" applyFill="1" applyBorder="1" applyAlignment="1">
      <alignment textRotation="90" wrapText="1"/>
    </xf>
    <xf numFmtId="0" fontId="0" fillId="5" borderId="0" xfId="0" applyFill="1" applyAlignment="1">
      <alignment horizontal="center" vertical="center"/>
    </xf>
    <xf numFmtId="0" fontId="0" fillId="5" borderId="0" xfId="0" applyFill="1"/>
    <xf numFmtId="0" fontId="4" fillId="0" borderId="59" xfId="0" applyFont="1" applyBorder="1" applyAlignment="1">
      <alignment vertical="center"/>
    </xf>
    <xf numFmtId="16" fontId="4" fillId="0" borderId="59" xfId="0" applyNumberFormat="1" applyFont="1" applyBorder="1" applyAlignment="1">
      <alignment vertical="center"/>
    </xf>
    <xf numFmtId="1" fontId="21" fillId="0" borderId="36" xfId="0" applyNumberFormat="1" applyFont="1" applyBorder="1" applyAlignment="1">
      <alignment horizontal="center" vertical="center" wrapText="1"/>
    </xf>
    <xf numFmtId="164" fontId="54" fillId="14" borderId="59" xfId="0" applyNumberFormat="1" applyFont="1" applyFill="1" applyBorder="1" applyAlignment="1">
      <alignment horizontal="center" vertical="center" wrapText="1"/>
    </xf>
    <xf numFmtId="0" fontId="54" fillId="5" borderId="0" xfId="0" applyFont="1" applyFill="1" applyAlignment="1">
      <alignment vertical="center" wrapText="1"/>
    </xf>
    <xf numFmtId="0" fontId="54" fillId="5" borderId="0" xfId="0" applyFont="1" applyFill="1" applyAlignment="1">
      <alignment vertical="center"/>
    </xf>
    <xf numFmtId="164" fontId="54" fillId="5" borderId="0" xfId="0" applyNumberFormat="1" applyFont="1" applyFill="1" applyAlignment="1">
      <alignment horizontal="center" vertical="center" wrapText="1"/>
    </xf>
    <xf numFmtId="0" fontId="10" fillId="0" borderId="70" xfId="0" applyFont="1" applyBorder="1" applyAlignment="1">
      <alignment horizontal="center" vertical="center"/>
    </xf>
    <xf numFmtId="0" fontId="0" fillId="0" borderId="70" xfId="0" applyBorder="1" applyAlignment="1">
      <alignment vertical="center"/>
    </xf>
    <xf numFmtId="164" fontId="1" fillId="14" borderId="70" xfId="0" applyNumberFormat="1" applyFont="1" applyFill="1" applyBorder="1" applyAlignment="1">
      <alignment horizontal="center" vertical="center" wrapText="1"/>
    </xf>
    <xf numFmtId="0" fontId="0" fillId="0" borderId="0" xfId="0" applyAlignment="1">
      <alignment horizontal="center" vertical="center" wrapText="1"/>
      <extLst>
        <ext xmlns:xfpb="http://schemas.microsoft.com/office/spreadsheetml/2022/featurepropertybag" uri="{C7286773-470A-42A8-94C5-96B5CB345126}">
          <xfpb:xfComplement i="0"/>
        </ext>
      </extLst>
    </xf>
    <xf numFmtId="0" fontId="0" fillId="0" borderId="0" xfId="0">
      <extLst>
        <ext xmlns:xfpb="http://schemas.microsoft.com/office/spreadsheetml/2022/featurepropertybag" uri="{C7286773-470A-42A8-94C5-96B5CB345126}">
          <xfpb:xfComplement i="0"/>
        </ext>
      </extLst>
    </xf>
    <xf numFmtId="164" fontId="1" fillId="2" borderId="0" xfId="0" applyNumberFormat="1" applyFont="1" applyFill="1" applyAlignment="1">
      <alignment horizontal="center" vertical="center"/>
    </xf>
    <xf numFmtId="0" fontId="0" fillId="0" borderId="6" xfId="0" applyBorder="1" applyAlignment="1">
      <alignment vertical="center"/>
    </xf>
    <xf numFmtId="0" fontId="0" fillId="0" borderId="0" xfId="0" applyAlignment="1">
      <alignment horizontal="left" vertical="center"/>
    </xf>
    <xf numFmtId="0" fontId="0" fillId="0" borderId="71" xfId="0" applyBorder="1"/>
    <xf numFmtId="0" fontId="0" fillId="0" borderId="71" xfId="0" applyBorder="1" applyAlignment="1">
      <alignment horizontal="center" vertical="center"/>
    </xf>
    <xf numFmtId="0" fontId="0" fillId="0" borderId="71" xfId="0" applyBorder="1" applyAlignment="1">
      <alignment horizontal="center" vertical="center" wrapText="1"/>
    </xf>
    <xf numFmtId="0" fontId="0" fillId="0" borderId="71" xfId="0" applyBorder="1" applyAlignment="1">
      <alignment horizontal="center"/>
    </xf>
    <xf numFmtId="1" fontId="0" fillId="0" borderId="0" xfId="0" applyNumberFormat="1" applyAlignment="1">
      <alignment horizontal="center" vertical="center"/>
    </xf>
    <xf numFmtId="0" fontId="56" fillId="7" borderId="67" xfId="0" applyFont="1" applyFill="1" applyBorder="1" applyAlignment="1">
      <alignment horizontal="center" vertical="center"/>
    </xf>
    <xf numFmtId="0" fontId="56" fillId="7" borderId="67" xfId="0" applyFont="1" applyFill="1" applyBorder="1" applyAlignment="1">
      <alignment horizontal="center"/>
    </xf>
    <xf numFmtId="2" fontId="0" fillId="0" borderId="0" xfId="0" applyNumberFormat="1" applyAlignment="1">
      <alignment horizontal="center" vertical="center"/>
    </xf>
    <xf numFmtId="9" fontId="1" fillId="5" borderId="0" xfId="0" applyNumberFormat="1" applyFont="1" applyFill="1" applyAlignment="1">
      <alignment horizontal="center" vertical="center"/>
    </xf>
    <xf numFmtId="0" fontId="18" fillId="7" borderId="64" xfId="0" applyFont="1" applyFill="1" applyBorder="1" applyAlignment="1">
      <alignment horizontal="right" vertical="center" indent="1"/>
    </xf>
    <xf numFmtId="0" fontId="18" fillId="7" borderId="0" xfId="0" applyFont="1" applyFill="1" applyAlignment="1">
      <alignment horizontal="right" vertical="center" indent="1"/>
    </xf>
    <xf numFmtId="0" fontId="0" fillId="0" borderId="70" xfId="0" applyBorder="1" applyAlignment="1">
      <alignment horizontal="center" vertical="center"/>
    </xf>
    <xf numFmtId="0" fontId="0" fillId="0" borderId="67" xfId="0" applyBorder="1" applyAlignment="1">
      <alignment vertical="center"/>
    </xf>
    <xf numFmtId="0" fontId="0" fillId="0" borderId="67" xfId="0" applyBorder="1"/>
    <xf numFmtId="0" fontId="0" fillId="0" borderId="68" xfId="0" applyBorder="1" applyAlignment="1">
      <alignment vertical="center"/>
    </xf>
    <xf numFmtId="0" fontId="0" fillId="0" borderId="66" xfId="0" applyBorder="1"/>
    <xf numFmtId="0" fontId="0" fillId="0" borderId="67" xfId="0" applyBorder="1" applyAlignment="1">
      <alignment horizontal="right" vertical="center"/>
      <extLst>
        <ext xmlns:xfpb="http://schemas.microsoft.com/office/spreadsheetml/2022/featurepropertybag" uri="{C7286773-470A-42A8-94C5-96B5CB345126}">
          <xfpb:xfComplement i="0"/>
        </ext>
      </extLst>
    </xf>
    <xf numFmtId="0" fontId="1" fillId="0" borderId="0" xfId="0" applyFont="1" applyAlignment="1">
      <alignment horizontal="left"/>
    </xf>
    <xf numFmtId="0" fontId="1" fillId="0" borderId="4" xfId="0" applyFont="1" applyBorder="1"/>
    <xf numFmtId="0" fontId="61" fillId="0" borderId="0" xfId="0" applyFont="1"/>
    <xf numFmtId="0" fontId="61" fillId="0" borderId="0" xfId="0" applyFont="1" applyAlignment="1">
      <alignment horizontal="center" vertical="center"/>
    </xf>
    <xf numFmtId="1" fontId="63" fillId="0" borderId="0" xfId="3" applyNumberFormat="1" applyFont="1" applyAlignment="1">
      <alignment horizontal="center" vertical="center"/>
    </xf>
    <xf numFmtId="0" fontId="61" fillId="0" borderId="89" xfId="0" applyFont="1" applyBorder="1"/>
    <xf numFmtId="0" fontId="65" fillId="7" borderId="90" xfId="0" applyFont="1" applyFill="1" applyBorder="1" applyAlignment="1">
      <alignment horizontal="right" vertical="center"/>
    </xf>
    <xf numFmtId="0" fontId="61" fillId="0" borderId="93" xfId="0" applyFont="1" applyBorder="1" applyAlignment="1">
      <alignment horizontal="center" vertical="center"/>
    </xf>
    <xf numFmtId="0" fontId="61" fillId="0" borderId="96" xfId="0" applyFont="1" applyBorder="1"/>
    <xf numFmtId="0" fontId="65" fillId="7" borderId="0" xfId="0" applyFont="1" applyFill="1" applyAlignment="1">
      <alignment horizontal="right" vertical="center"/>
    </xf>
    <xf numFmtId="0" fontId="66" fillId="0" borderId="0" xfId="0" applyFont="1" applyAlignment="1">
      <alignment vertical="center"/>
    </xf>
    <xf numFmtId="0" fontId="61" fillId="0" borderId="102" xfId="0" applyFont="1" applyBorder="1"/>
    <xf numFmtId="0" fontId="65" fillId="7" borderId="103" xfId="0" applyFont="1" applyFill="1" applyBorder="1" applyAlignment="1">
      <alignment horizontal="right" vertical="center"/>
    </xf>
    <xf numFmtId="1" fontId="63" fillId="0" borderId="0" xfId="3" applyNumberFormat="1" applyFont="1" applyBorder="1" applyAlignment="1">
      <alignment horizontal="center" vertical="center"/>
    </xf>
    <xf numFmtId="0" fontId="69" fillId="0" borderId="0" xfId="0" applyFont="1"/>
    <xf numFmtId="0" fontId="69" fillId="0" borderId="0" xfId="0" applyFont="1" applyAlignment="1">
      <alignment horizontal="center" vertical="center"/>
    </xf>
    <xf numFmtId="0" fontId="68" fillId="3" borderId="109" xfId="0" applyFont="1" applyFill="1" applyBorder="1" applyAlignment="1">
      <alignment horizontal="center"/>
    </xf>
    <xf numFmtId="1" fontId="68" fillId="2" borderId="89" xfId="3" applyNumberFormat="1" applyFont="1" applyFill="1" applyBorder="1" applyAlignment="1">
      <alignment horizontal="center"/>
    </xf>
    <xf numFmtId="0" fontId="68" fillId="0" borderId="110" xfId="0" applyFont="1" applyBorder="1" applyAlignment="1">
      <alignment horizontal="center" vertical="center"/>
    </xf>
    <xf numFmtId="0" fontId="70" fillId="7" borderId="111" xfId="0" applyFont="1" applyFill="1" applyBorder="1" applyAlignment="1">
      <alignment horizontal="right" vertical="center"/>
    </xf>
    <xf numFmtId="9" fontId="68" fillId="3" borderId="111" xfId="0" applyNumberFormat="1" applyFont="1" applyFill="1" applyBorder="1" applyAlignment="1">
      <alignment horizontal="center" vertical="center"/>
    </xf>
    <xf numFmtId="9" fontId="63" fillId="2" borderId="111" xfId="3" applyFont="1" applyFill="1" applyBorder="1" applyAlignment="1">
      <alignment horizontal="center" vertical="center"/>
    </xf>
    <xf numFmtId="0" fontId="61" fillId="0" borderId="0" xfId="0" applyFont="1" applyAlignment="1">
      <alignment vertical="center"/>
    </xf>
    <xf numFmtId="0" fontId="68" fillId="0" borderId="113" xfId="0" applyFont="1" applyBorder="1" applyAlignment="1">
      <alignment horizontal="center" vertical="center"/>
    </xf>
    <xf numFmtId="0" fontId="70" fillId="7" borderId="114" xfId="0" applyFont="1" applyFill="1" applyBorder="1" applyAlignment="1">
      <alignment horizontal="right" vertical="center"/>
    </xf>
    <xf numFmtId="9" fontId="68" fillId="3" borderId="114" xfId="0" applyNumberFormat="1" applyFont="1" applyFill="1" applyBorder="1" applyAlignment="1">
      <alignment horizontal="center" vertical="center"/>
    </xf>
    <xf numFmtId="9" fontId="63" fillId="2" borderId="114" xfId="3" applyFont="1" applyFill="1" applyBorder="1" applyAlignment="1">
      <alignment horizontal="center" vertical="center"/>
    </xf>
    <xf numFmtId="0" fontId="70" fillId="7" borderId="114" xfId="0" applyFont="1" applyFill="1" applyBorder="1" applyAlignment="1">
      <alignment horizontal="right" vertical="center" wrapText="1"/>
    </xf>
    <xf numFmtId="0" fontId="70" fillId="7" borderId="115" xfId="0" applyFont="1" applyFill="1" applyBorder="1" applyAlignment="1">
      <alignment horizontal="right" vertical="center" wrapText="1"/>
    </xf>
    <xf numFmtId="0" fontId="68" fillId="0" borderId="116" xfId="0" applyFont="1" applyBorder="1" applyAlignment="1">
      <alignment horizontal="center" vertical="center"/>
    </xf>
    <xf numFmtId="0" fontId="70" fillId="7" borderId="117" xfId="0" applyFont="1" applyFill="1" applyBorder="1" applyAlignment="1">
      <alignment horizontal="right" vertical="center" wrapText="1"/>
    </xf>
    <xf numFmtId="9" fontId="68" fillId="3" borderId="118" xfId="0" applyNumberFormat="1" applyFont="1" applyFill="1" applyBorder="1" applyAlignment="1">
      <alignment horizontal="center" vertical="center"/>
    </xf>
    <xf numFmtId="9" fontId="63" fillId="2" borderId="118" xfId="3" applyFont="1" applyFill="1" applyBorder="1" applyAlignment="1">
      <alignment horizontal="center" vertical="center"/>
    </xf>
    <xf numFmtId="9" fontId="63" fillId="0" borderId="0" xfId="3" applyFont="1" applyAlignment="1">
      <alignment horizontal="center" vertical="center"/>
    </xf>
    <xf numFmtId="9" fontId="68" fillId="0" borderId="0" xfId="0" applyNumberFormat="1" applyFont="1" applyAlignment="1">
      <alignment horizontal="center" vertical="center"/>
    </xf>
    <xf numFmtId="0" fontId="72" fillId="0" borderId="0" xfId="0" applyFont="1"/>
    <xf numFmtId="0" fontId="72" fillId="0" borderId="0" xfId="0" applyFont="1" applyAlignment="1">
      <alignment horizontal="center" vertical="center"/>
    </xf>
    <xf numFmtId="1" fontId="73" fillId="0" borderId="0" xfId="3" applyNumberFormat="1" applyFont="1" applyBorder="1" applyAlignment="1">
      <alignment horizontal="center" vertical="center"/>
    </xf>
    <xf numFmtId="0" fontId="73" fillId="0" borderId="0" xfId="0" applyFont="1" applyAlignment="1">
      <alignment horizontal="left" vertical="center"/>
    </xf>
    <xf numFmtId="0" fontId="72" fillId="0" borderId="119" xfId="0" applyFont="1" applyBorder="1" applyAlignment="1">
      <alignment horizontal="left"/>
    </xf>
    <xf numFmtId="0" fontId="73" fillId="0" borderId="0" xfId="0" applyFont="1" applyAlignment="1">
      <alignment horizontal="right" vertical="center"/>
    </xf>
    <xf numFmtId="0" fontId="72" fillId="0" borderId="119" xfId="0" applyFont="1" applyBorder="1" applyAlignment="1">
      <alignment horizontal="center"/>
    </xf>
    <xf numFmtId="0" fontId="72" fillId="0" borderId="97" xfId="0" applyFont="1" applyBorder="1" applyAlignment="1">
      <alignment horizontal="left"/>
    </xf>
    <xf numFmtId="15" fontId="72" fillId="0" borderId="119" xfId="0" applyNumberFormat="1" applyFont="1" applyBorder="1" applyAlignment="1">
      <alignment horizontal="center"/>
    </xf>
    <xf numFmtId="0" fontId="61" fillId="0" borderId="0" xfId="0" applyFont="1" applyAlignment="1">
      <alignment vertical="center" wrapText="1"/>
    </xf>
    <xf numFmtId="0" fontId="61" fillId="0" borderId="0" xfId="0" applyFont="1" applyAlignment="1">
      <alignment horizontal="left"/>
    </xf>
    <xf numFmtId="0" fontId="66" fillId="0" borderId="0" xfId="0" applyFont="1" applyAlignment="1">
      <alignment horizontal="right" vertical="center"/>
    </xf>
    <xf numFmtId="0" fontId="61" fillId="0" borderId="0" xfId="0" applyFont="1" applyAlignment="1">
      <alignment horizontal="left" vertical="center"/>
    </xf>
    <xf numFmtId="0" fontId="75" fillId="0" borderId="0" xfId="0" applyFont="1" applyAlignment="1">
      <alignment horizontal="center"/>
    </xf>
    <xf numFmtId="0" fontId="65" fillId="0" borderId="0" xfId="0" applyFont="1" applyAlignment="1">
      <alignment horizontal="center"/>
    </xf>
    <xf numFmtId="0" fontId="61" fillId="0" borderId="0" xfId="0" applyFont="1" applyAlignment="1">
      <alignment wrapText="1"/>
    </xf>
    <xf numFmtId="0" fontId="0" fillId="0" borderId="0" xfId="0" applyAlignment="1">
      <alignment horizontal="center" wrapText="1"/>
    </xf>
    <xf numFmtId="0" fontId="77" fillId="0" borderId="8" xfId="0" applyFont="1" applyBorder="1" applyAlignment="1">
      <alignment vertical="center" wrapText="1"/>
    </xf>
    <xf numFmtId="0" fontId="80" fillId="17" borderId="93" xfId="0" applyFont="1" applyFill="1" applyBorder="1" applyAlignment="1">
      <alignment vertical="center" wrapText="1"/>
    </xf>
    <xf numFmtId="0" fontId="81" fillId="17" borderId="109" xfId="0" applyFont="1" applyFill="1" applyBorder="1" applyAlignment="1">
      <alignment horizontal="center" vertical="center" wrapText="1"/>
    </xf>
    <xf numFmtId="0" fontId="80" fillId="17" borderId="125" xfId="0" applyFont="1" applyFill="1" applyBorder="1" applyAlignment="1">
      <alignment vertical="center" wrapText="1"/>
    </xf>
    <xf numFmtId="0" fontId="82" fillId="17" borderId="126" xfId="0" applyFont="1" applyFill="1" applyBorder="1" applyAlignment="1">
      <alignment horizontal="center" vertical="center" wrapText="1"/>
    </xf>
    <xf numFmtId="0" fontId="83" fillId="0" borderId="113" xfId="0" applyFont="1" applyBorder="1" applyAlignment="1">
      <alignment vertical="center" wrapText="1"/>
    </xf>
    <xf numFmtId="1" fontId="88" fillId="18" borderId="127" xfId="0" applyNumberFormat="1" applyFont="1" applyFill="1" applyBorder="1" applyAlignment="1">
      <alignment horizontal="center" vertical="center" wrapText="1"/>
    </xf>
    <xf numFmtId="0" fontId="89" fillId="17" borderId="124" xfId="0" applyFont="1" applyFill="1" applyBorder="1" applyAlignment="1">
      <alignment horizontal="left" vertical="center" wrapText="1"/>
    </xf>
    <xf numFmtId="0" fontId="83" fillId="0" borderId="114" xfId="0" applyFont="1" applyBorder="1" applyAlignment="1">
      <alignment vertical="center" wrapText="1"/>
    </xf>
    <xf numFmtId="0" fontId="87" fillId="0" borderId="0" xfId="0" applyFont="1" applyAlignment="1">
      <alignment horizontal="right" vertical="center" wrapText="1"/>
    </xf>
    <xf numFmtId="0" fontId="76" fillId="0" borderId="0" xfId="0" applyFont="1"/>
    <xf numFmtId="1" fontId="0" fillId="0" borderId="0" xfId="0" applyNumberFormat="1" applyAlignment="1">
      <alignment horizontal="center"/>
    </xf>
    <xf numFmtId="166" fontId="0" fillId="0" borderId="74" xfId="0" applyNumberFormat="1" applyBorder="1" applyAlignment="1">
      <alignment horizontal="center" vertical="center" wrapText="1"/>
    </xf>
    <xf numFmtId="0" fontId="17" fillId="0" borderId="80" xfId="0" applyFont="1" applyBorder="1" applyAlignment="1">
      <alignment horizontal="center" vertical="center" wrapText="1"/>
    </xf>
    <xf numFmtId="0" fontId="17" fillId="0" borderId="81" xfId="0" applyFont="1" applyBorder="1" applyAlignment="1">
      <alignment horizontal="center" vertical="center" wrapText="1"/>
    </xf>
    <xf numFmtId="0" fontId="17" fillId="0" borderId="82" xfId="0" applyFont="1" applyBorder="1" applyAlignment="1">
      <alignment horizontal="center" vertical="center" wrapText="1"/>
    </xf>
    <xf numFmtId="0" fontId="1" fillId="13" borderId="11" xfId="0" applyFont="1" applyFill="1" applyBorder="1" applyAlignment="1">
      <alignment vertical="center" wrapText="1"/>
    </xf>
    <xf numFmtId="0" fontId="1" fillId="13" borderId="12" xfId="0" applyFont="1" applyFill="1" applyBorder="1" applyAlignment="1">
      <alignment vertical="center" wrapText="1"/>
    </xf>
    <xf numFmtId="0" fontId="1" fillId="13" borderId="21" xfId="0" applyFont="1" applyFill="1" applyBorder="1" applyAlignment="1">
      <alignment vertical="center" wrapText="1"/>
    </xf>
    <xf numFmtId="0" fontId="3" fillId="0" borderId="71" xfId="0" applyFont="1" applyBorder="1" applyAlignment="1">
      <alignment horizontal="center" vertical="center" wrapText="1"/>
    </xf>
    <xf numFmtId="166" fontId="0" fillId="0" borderId="0" xfId="0" applyNumberFormat="1" applyAlignment="1">
      <alignment horizontal="center" vertical="center" wrapText="1"/>
    </xf>
    <xf numFmtId="1" fontId="0" fillId="5" borderId="20" xfId="0" applyNumberFormat="1" applyFill="1" applyBorder="1" applyAlignment="1">
      <alignment horizontal="center" vertical="center"/>
    </xf>
    <xf numFmtId="0" fontId="0" fillId="16" borderId="80" xfId="0" applyFill="1" applyBorder="1" applyAlignment="1">
      <alignment horizontal="left" vertical="center"/>
    </xf>
    <xf numFmtId="0" fontId="0" fillId="16" borderId="81" xfId="0" applyFill="1" applyBorder="1" applyAlignment="1">
      <alignment horizontal="left" vertical="center"/>
    </xf>
    <xf numFmtId="0" fontId="0" fillId="16" borderId="82" xfId="0" applyFill="1" applyBorder="1" applyAlignment="1">
      <alignment horizontal="left" vertical="center"/>
    </xf>
    <xf numFmtId="166" fontId="0" fillId="0" borderId="79" xfId="0" applyNumberFormat="1" applyBorder="1" applyAlignment="1">
      <alignment horizontal="center" vertical="center" wrapText="1"/>
    </xf>
    <xf numFmtId="0" fontId="0" fillId="0" borderId="39" xfId="0" applyBorder="1" applyAlignment="1">
      <alignment horizontal="center"/>
    </xf>
    <xf numFmtId="0" fontId="18" fillId="19" borderId="71" xfId="0" applyFont="1" applyFill="1" applyBorder="1" applyAlignment="1">
      <alignment horizontal="center" vertical="center"/>
    </xf>
    <xf numFmtId="0" fontId="1" fillId="11" borderId="80" xfId="0" applyFont="1" applyFill="1" applyBorder="1" applyAlignment="1">
      <alignment horizontal="left" vertical="center"/>
    </xf>
    <xf numFmtId="0" fontId="1" fillId="11" borderId="81" xfId="0" applyFont="1" applyFill="1" applyBorder="1" applyAlignment="1">
      <alignment horizontal="left" vertical="center"/>
    </xf>
    <xf numFmtId="0" fontId="0" fillId="0" borderId="71" xfId="0" applyBorder="1" applyAlignment="1">
      <alignment vertical="center"/>
    </xf>
    <xf numFmtId="0" fontId="0" fillId="0" borderId="132" xfId="0" applyBorder="1" applyAlignment="1">
      <alignment horizontal="center"/>
    </xf>
    <xf numFmtId="0" fontId="0" fillId="19" borderId="0" xfId="0" applyFill="1"/>
    <xf numFmtId="0" fontId="0" fillId="0" borderId="80" xfId="0" applyBorder="1" applyAlignment="1">
      <alignment horizontal="center" vertical="center"/>
    </xf>
    <xf numFmtId="0" fontId="0" fillId="0" borderId="81" xfId="0" applyBorder="1" applyAlignment="1">
      <alignment horizontal="center" vertical="center"/>
    </xf>
    <xf numFmtId="0" fontId="0" fillId="0" borderId="82" xfId="0" applyBorder="1" applyAlignment="1">
      <alignment horizontal="center" vertical="center"/>
    </xf>
    <xf numFmtId="0" fontId="55" fillId="0" borderId="80" xfId="2" applyBorder="1" applyAlignment="1">
      <alignment horizontal="center" vertical="center" wrapText="1"/>
    </xf>
    <xf numFmtId="0" fontId="55" fillId="0" borderId="81" xfId="2" applyBorder="1" applyAlignment="1">
      <alignment horizontal="center" vertical="center" wrapText="1"/>
    </xf>
    <xf numFmtId="0" fontId="55" fillId="0" borderId="82" xfId="2" applyBorder="1" applyAlignment="1">
      <alignment horizontal="center" vertical="center" wrapText="1"/>
    </xf>
    <xf numFmtId="166" fontId="0" fillId="0" borderId="75" xfId="0" applyNumberFormat="1" applyBorder="1" applyAlignment="1">
      <alignment horizontal="center" vertical="center" wrapText="1"/>
    </xf>
    <xf numFmtId="0" fontId="0" fillId="0" borderId="78" xfId="0" applyBorder="1" applyAlignment="1">
      <alignment horizontal="center" vertical="center"/>
    </xf>
    <xf numFmtId="0" fontId="95" fillId="0" borderId="0" xfId="0" applyFont="1" applyAlignment="1">
      <alignment vertical="center" wrapText="1"/>
    </xf>
    <xf numFmtId="0" fontId="23" fillId="0" borderId="0" xfId="0" applyFont="1" applyAlignment="1">
      <alignment vertical="center"/>
    </xf>
    <xf numFmtId="0" fontId="23" fillId="0" borderId="0" xfId="0" applyFont="1" applyAlignment="1">
      <alignment horizontal="left" vertical="top" wrapText="1"/>
    </xf>
    <xf numFmtId="0" fontId="23" fillId="20" borderId="0" xfId="0" applyFont="1" applyFill="1" applyAlignment="1">
      <alignment horizontal="left" vertical="top"/>
    </xf>
    <xf numFmtId="0" fontId="23" fillId="21" borderId="0" xfId="0" applyFont="1" applyFill="1" applyAlignment="1">
      <alignment horizontal="left" vertical="top"/>
    </xf>
    <xf numFmtId="0" fontId="23" fillId="22" borderId="0" xfId="0" applyFont="1" applyFill="1" applyAlignment="1">
      <alignment horizontal="left" vertical="top"/>
    </xf>
    <xf numFmtId="0" fontId="23" fillId="0" borderId="0" xfId="0" applyFont="1" applyAlignment="1">
      <alignment horizontal="left" vertical="top"/>
    </xf>
    <xf numFmtId="0" fontId="0" fillId="0" borderId="0" xfId="0" applyAlignment="1">
      <alignment horizontal="left" vertical="top"/>
    </xf>
    <xf numFmtId="0" fontId="23" fillId="24" borderId="0" xfId="0" applyFont="1" applyFill="1" applyAlignment="1">
      <alignment horizontal="center" vertical="center"/>
    </xf>
    <xf numFmtId="0" fontId="23" fillId="23" borderId="0" xfId="0" applyFont="1" applyFill="1" applyAlignment="1">
      <alignment horizontal="center" vertical="center"/>
    </xf>
    <xf numFmtId="0" fontId="0" fillId="0" borderId="0" xfId="0" applyAlignment="1">
      <alignment horizontal="left" vertical="center" wrapText="1"/>
    </xf>
    <xf numFmtId="0" fontId="1" fillId="0" borderId="0" xfId="0" applyFont="1" applyAlignment="1">
      <alignment horizontal="left" vertical="center"/>
    </xf>
    <xf numFmtId="2" fontId="1" fillId="2" borderId="0" xfId="0" applyNumberFormat="1" applyFont="1" applyFill="1" applyAlignment="1">
      <alignment horizontal="center" vertical="center"/>
    </xf>
    <xf numFmtId="9" fontId="1" fillId="15" borderId="0" xfId="0" applyNumberFormat="1" applyFont="1" applyFill="1" applyAlignment="1">
      <alignment horizontal="center" vertical="center"/>
    </xf>
    <xf numFmtId="0" fontId="97" fillId="11" borderId="58" xfId="0" applyFont="1" applyFill="1" applyBorder="1" applyAlignment="1">
      <alignment horizontal="center" textRotation="90" wrapText="1"/>
    </xf>
    <xf numFmtId="0" fontId="0" fillId="5" borderId="0" xfId="0" applyFill="1" applyAlignment="1">
      <alignment horizontal="center"/>
    </xf>
    <xf numFmtId="9" fontId="1" fillId="0" borderId="0" xfId="0" applyNumberFormat="1" applyFont="1" applyAlignment="1">
      <alignment horizontal="center" vertical="center"/>
    </xf>
    <xf numFmtId="0" fontId="98" fillId="0" borderId="0" xfId="0" applyFont="1"/>
    <xf numFmtId="0" fontId="100" fillId="0" borderId="0" xfId="0" applyFont="1"/>
    <xf numFmtId="0" fontId="101" fillId="0" borderId="0" xfId="0" applyFont="1"/>
    <xf numFmtId="0" fontId="103" fillId="0" borderId="0" xfId="0" applyFont="1"/>
    <xf numFmtId="0" fontId="105" fillId="0" borderId="0" xfId="0" applyFont="1"/>
    <xf numFmtId="0" fontId="107" fillId="0" borderId="0" xfId="0" applyFont="1"/>
    <xf numFmtId="0" fontId="110" fillId="0" borderId="0" xfId="0" applyFont="1"/>
    <xf numFmtId="0" fontId="111" fillId="28" borderId="119" xfId="0" applyFont="1" applyFill="1" applyBorder="1" applyAlignment="1">
      <alignment wrapText="1"/>
    </xf>
    <xf numFmtId="0" fontId="111" fillId="28" borderId="119" xfId="0" applyFont="1" applyFill="1" applyBorder="1"/>
    <xf numFmtId="0" fontId="110" fillId="28" borderId="119" xfId="0" applyFont="1" applyFill="1" applyBorder="1"/>
    <xf numFmtId="0" fontId="111" fillId="0" borderId="0" xfId="0" applyFont="1"/>
    <xf numFmtId="0" fontId="113" fillId="0" borderId="0" xfId="0" applyFont="1"/>
    <xf numFmtId="0" fontId="120" fillId="25" borderId="146" xfId="0" applyFont="1" applyFill="1" applyBorder="1"/>
    <xf numFmtId="0" fontId="120" fillId="25" borderId="146" xfId="0" applyFont="1" applyFill="1" applyBorder="1" applyAlignment="1">
      <alignment wrapText="1"/>
    </xf>
    <xf numFmtId="0" fontId="121" fillId="25" borderId="146" xfId="0" applyFont="1" applyFill="1" applyBorder="1" applyAlignment="1">
      <alignment wrapText="1"/>
    </xf>
    <xf numFmtId="0" fontId="115" fillId="25" borderId="162" xfId="0" applyFont="1" applyFill="1" applyBorder="1"/>
    <xf numFmtId="0" fontId="121" fillId="25" borderId="162" xfId="0" applyFont="1" applyFill="1" applyBorder="1" applyAlignment="1">
      <alignment wrapText="1"/>
    </xf>
    <xf numFmtId="0" fontId="115" fillId="25" borderId="162" xfId="0" applyFont="1" applyFill="1" applyBorder="1" applyAlignment="1">
      <alignment wrapText="1"/>
    </xf>
    <xf numFmtId="0" fontId="121" fillId="25" borderId="162" xfId="0" applyFont="1" applyFill="1" applyBorder="1"/>
    <xf numFmtId="0" fontId="121" fillId="25" borderId="146" xfId="0" applyFont="1" applyFill="1" applyBorder="1"/>
    <xf numFmtId="0" fontId="119" fillId="25" borderId="0" xfId="0" applyFont="1" applyFill="1"/>
    <xf numFmtId="0" fontId="119" fillId="25" borderId="0" xfId="0" applyFont="1" applyFill="1" applyAlignment="1">
      <alignment wrapText="1"/>
    </xf>
    <xf numFmtId="0" fontId="111" fillId="25" borderId="155" xfId="0" applyFont="1" applyFill="1" applyBorder="1"/>
    <xf numFmtId="0" fontId="111" fillId="25" borderId="155" xfId="0" applyFont="1" applyFill="1" applyBorder="1" applyAlignment="1">
      <alignment wrapText="1"/>
    </xf>
    <xf numFmtId="0" fontId="121" fillId="25" borderId="155" xfId="0" applyFont="1" applyFill="1" applyBorder="1"/>
    <xf numFmtId="0" fontId="122" fillId="27" borderId="0" xfId="0" applyFont="1" applyFill="1"/>
    <xf numFmtId="0" fontId="122" fillId="27" borderId="103" xfId="0" applyFont="1" applyFill="1" applyBorder="1"/>
    <xf numFmtId="0" fontId="123" fillId="0" borderId="0" xfId="0" applyFont="1"/>
    <xf numFmtId="0" fontId="123" fillId="0" borderId="0" xfId="0" applyFont="1" applyAlignment="1">
      <alignment wrapText="1"/>
    </xf>
    <xf numFmtId="0" fontId="102" fillId="0" borderId="110" xfId="0" applyFont="1" applyBorder="1" applyAlignment="1">
      <alignment vertical="center"/>
    </xf>
    <xf numFmtId="0" fontId="78" fillId="0" borderId="0" xfId="0" applyFont="1" applyAlignment="1">
      <alignment vertical="center"/>
    </xf>
    <xf numFmtId="0" fontId="102" fillId="0" borderId="150" xfId="0" applyFont="1" applyBorder="1" applyAlignment="1">
      <alignment vertical="center"/>
    </xf>
    <xf numFmtId="0" fontId="116" fillId="0" borderId="0" xfId="0" applyFont="1" applyAlignment="1">
      <alignment vertical="center"/>
    </xf>
    <xf numFmtId="0" fontId="102" fillId="0" borderId="154" xfId="0" applyFont="1" applyBorder="1" applyAlignment="1">
      <alignment vertical="center"/>
    </xf>
    <xf numFmtId="0" fontId="111" fillId="0" borderId="0" xfId="0" applyFont="1" applyAlignment="1">
      <alignment vertical="center"/>
    </xf>
    <xf numFmtId="0" fontId="98" fillId="0" borderId="0" xfId="0" applyFont="1" applyAlignment="1">
      <alignment horizontal="center"/>
    </xf>
    <xf numFmtId="9" fontId="102" fillId="27" borderId="131" xfId="0" applyNumberFormat="1" applyFont="1" applyFill="1" applyBorder="1" applyAlignment="1">
      <alignment horizontal="center" vertical="center"/>
    </xf>
    <xf numFmtId="9" fontId="98" fillId="26" borderId="94" xfId="0" applyNumberFormat="1" applyFont="1" applyFill="1" applyBorder="1" applyAlignment="1">
      <alignment horizontal="center" vertical="center"/>
    </xf>
    <xf numFmtId="9" fontId="98" fillId="26" borderId="131" xfId="0" applyNumberFormat="1" applyFont="1" applyFill="1" applyBorder="1" applyAlignment="1">
      <alignment horizontal="center" vertical="center"/>
    </xf>
    <xf numFmtId="9" fontId="102" fillId="27" borderId="155" xfId="0" applyNumberFormat="1" applyFont="1" applyFill="1" applyBorder="1" applyAlignment="1">
      <alignment horizontal="center" vertical="center"/>
    </xf>
    <xf numFmtId="9" fontId="98" fillId="26" borderId="155" xfId="0" applyNumberFormat="1" applyFont="1" applyFill="1" applyBorder="1" applyAlignment="1">
      <alignment horizontal="center" vertical="center"/>
    </xf>
    <xf numFmtId="0" fontId="107" fillId="0" borderId="0" xfId="0" applyFont="1" applyAlignment="1">
      <alignment horizontal="right"/>
    </xf>
    <xf numFmtId="0" fontId="100" fillId="0" borderId="179" xfId="0" applyFont="1" applyBorder="1"/>
    <xf numFmtId="0" fontId="100" fillId="0" borderId="160" xfId="0" applyFont="1" applyBorder="1"/>
    <xf numFmtId="0" fontId="100" fillId="0" borderId="182" xfId="0" applyFont="1" applyBorder="1"/>
    <xf numFmtId="0" fontId="102" fillId="0" borderId="109" xfId="0" applyFont="1" applyBorder="1" applyAlignment="1">
      <alignment horizontal="center" vertical="center"/>
    </xf>
    <xf numFmtId="0" fontId="102" fillId="26" borderId="90" xfId="0" applyFont="1" applyFill="1" applyBorder="1" applyAlignment="1">
      <alignment horizontal="center" vertical="center"/>
    </xf>
    <xf numFmtId="0" fontId="100" fillId="0" borderId="178" xfId="0" applyFont="1" applyBorder="1" applyAlignment="1">
      <alignment horizontal="center" vertical="center"/>
    </xf>
    <xf numFmtId="0" fontId="100" fillId="0" borderId="157" xfId="0" applyFont="1" applyBorder="1" applyAlignment="1">
      <alignment vertical="center"/>
    </xf>
    <xf numFmtId="0" fontId="101" fillId="0" borderId="180" xfId="0" applyFont="1" applyBorder="1" applyAlignment="1">
      <alignment vertical="center"/>
    </xf>
    <xf numFmtId="0" fontId="100" fillId="0" borderId="0" xfId="0" applyFont="1" applyAlignment="1">
      <alignment vertical="center"/>
    </xf>
    <xf numFmtId="0" fontId="101" fillId="0" borderId="119" xfId="0" applyFont="1" applyBorder="1" applyAlignment="1">
      <alignment vertical="center"/>
    </xf>
    <xf numFmtId="0" fontId="100" fillId="0" borderId="139" xfId="0" applyFont="1" applyBorder="1" applyAlignment="1">
      <alignment vertical="center"/>
    </xf>
    <xf numFmtId="0" fontId="101" fillId="0" borderId="139" xfId="0" applyFont="1" applyBorder="1" applyAlignment="1">
      <alignment vertical="center"/>
    </xf>
    <xf numFmtId="9" fontId="107" fillId="0" borderId="0" xfId="0" applyNumberFormat="1" applyFont="1" applyAlignment="1">
      <alignment horizontal="center"/>
    </xf>
    <xf numFmtId="0" fontId="104" fillId="25" borderId="94" xfId="0" applyFont="1" applyFill="1" applyBorder="1" applyAlignment="1">
      <alignment horizontal="right" vertical="center"/>
    </xf>
    <xf numFmtId="0" fontId="104" fillId="25" borderId="131" xfId="0" applyFont="1" applyFill="1" applyBorder="1" applyAlignment="1">
      <alignment horizontal="right" vertical="center"/>
    </xf>
    <xf numFmtId="0" fontId="104" fillId="25" borderId="131" xfId="0" applyFont="1" applyFill="1" applyBorder="1" applyAlignment="1">
      <alignment horizontal="right" vertical="center" wrapText="1"/>
    </xf>
    <xf numFmtId="0" fontId="104" fillId="25" borderId="155" xfId="0" applyFont="1" applyFill="1" applyBorder="1" applyAlignment="1">
      <alignment horizontal="right" vertical="center"/>
    </xf>
    <xf numFmtId="0" fontId="104" fillId="31" borderId="131" xfId="0" applyFont="1" applyFill="1" applyBorder="1" applyAlignment="1">
      <alignment horizontal="right" vertical="center"/>
    </xf>
    <xf numFmtId="0" fontId="104" fillId="31" borderId="131" xfId="0" applyFont="1" applyFill="1" applyBorder="1" applyAlignment="1">
      <alignment horizontal="right" vertical="center" wrapText="1"/>
    </xf>
    <xf numFmtId="9" fontId="102" fillId="27" borderId="119" xfId="0" applyNumberFormat="1" applyFont="1" applyFill="1" applyBorder="1" applyAlignment="1">
      <alignment horizontal="center" vertical="center"/>
    </xf>
    <xf numFmtId="0" fontId="104" fillId="31" borderId="188" xfId="0" applyFont="1" applyFill="1" applyBorder="1" applyAlignment="1">
      <alignment horizontal="right" vertical="center"/>
    </xf>
    <xf numFmtId="9" fontId="102" fillId="27" borderId="180" xfId="0" applyNumberFormat="1" applyFont="1" applyFill="1" applyBorder="1" applyAlignment="1">
      <alignment horizontal="center" vertical="center"/>
    </xf>
    <xf numFmtId="0" fontId="104" fillId="31" borderId="161" xfId="0" applyFont="1" applyFill="1" applyBorder="1" applyAlignment="1">
      <alignment horizontal="right" vertical="center"/>
    </xf>
    <xf numFmtId="9" fontId="102" fillId="27" borderId="139" xfId="0" applyNumberFormat="1" applyFont="1" applyFill="1" applyBorder="1" applyAlignment="1">
      <alignment horizontal="center" vertical="center"/>
    </xf>
    <xf numFmtId="0" fontId="102" fillId="0" borderId="192" xfId="0" applyFont="1" applyBorder="1" applyAlignment="1">
      <alignment horizontal="center" vertical="center"/>
    </xf>
    <xf numFmtId="0" fontId="102" fillId="0" borderId="187" xfId="0" applyFont="1" applyBorder="1" applyAlignment="1">
      <alignment horizontal="center" vertical="center"/>
    </xf>
    <xf numFmtId="0" fontId="102" fillId="0" borderId="189" xfId="0" applyFont="1" applyBorder="1" applyAlignment="1">
      <alignment horizontal="center" vertical="center"/>
    </xf>
    <xf numFmtId="0" fontId="102" fillId="0" borderId="177" xfId="0" applyFont="1" applyBorder="1" applyAlignment="1">
      <alignment horizontal="center" vertical="center"/>
    </xf>
    <xf numFmtId="9" fontId="98" fillId="26" borderId="183" xfId="0" applyNumberFormat="1" applyFont="1" applyFill="1" applyBorder="1" applyAlignment="1">
      <alignment horizontal="center" vertical="center"/>
    </xf>
    <xf numFmtId="9" fontId="98" fillId="26" borderId="193" xfId="0" applyNumberFormat="1" applyFont="1" applyFill="1" applyBorder="1" applyAlignment="1">
      <alignment horizontal="center" vertical="center"/>
    </xf>
    <xf numFmtId="9" fontId="98" fillId="26" borderId="198" xfId="0" applyNumberFormat="1" applyFont="1" applyFill="1" applyBorder="1" applyAlignment="1">
      <alignment horizontal="center" vertical="center"/>
    </xf>
    <xf numFmtId="0" fontId="107" fillId="0" borderId="0" xfId="0" applyFont="1" applyAlignment="1">
      <alignment horizontal="right" vertical="center"/>
    </xf>
    <xf numFmtId="0" fontId="124" fillId="0" borderId="199" xfId="0" applyFont="1" applyBorder="1" applyAlignment="1">
      <alignment horizontal="center" vertical="center" wrapText="1"/>
    </xf>
    <xf numFmtId="0" fontId="124" fillId="17" borderId="199" xfId="0" applyFont="1" applyFill="1" applyBorder="1" applyAlignment="1">
      <alignment horizontal="center" vertical="center" wrapText="1"/>
    </xf>
    <xf numFmtId="2" fontId="0" fillId="17" borderId="0" xfId="0" applyNumberFormat="1" applyFill="1" applyAlignment="1">
      <alignment horizontal="center"/>
    </xf>
    <xf numFmtId="0" fontId="74" fillId="0" borderId="0" xfId="0" applyFont="1" applyAlignment="1">
      <alignment vertical="center"/>
    </xf>
    <xf numFmtId="0" fontId="108" fillId="25" borderId="158" xfId="0" applyFont="1" applyFill="1" applyBorder="1" applyAlignment="1">
      <alignment vertical="center"/>
    </xf>
    <xf numFmtId="0" fontId="108" fillId="25" borderId="159" xfId="0" applyFont="1" applyFill="1" applyBorder="1" applyAlignment="1">
      <alignment vertical="center"/>
    </xf>
    <xf numFmtId="0" fontId="108" fillId="25" borderId="159" xfId="0" applyFont="1" applyFill="1" applyBorder="1" applyAlignment="1">
      <alignment vertical="center" wrapText="1"/>
    </xf>
    <xf numFmtId="0" fontId="108" fillId="25" borderId="143" xfId="0" applyFont="1" applyFill="1" applyBorder="1" applyAlignment="1">
      <alignment vertical="center"/>
    </xf>
    <xf numFmtId="0" fontId="119" fillId="25" borderId="145" xfId="0" applyFont="1" applyFill="1" applyBorder="1" applyAlignment="1">
      <alignment horizontal="center" vertical="center"/>
    </xf>
    <xf numFmtId="0" fontId="115" fillId="26" borderId="142" xfId="0" applyFont="1" applyFill="1" applyBorder="1" applyAlignment="1">
      <alignment horizontal="center" vertical="center"/>
    </xf>
    <xf numFmtId="0" fontId="119" fillId="25" borderId="171" xfId="0" applyFont="1" applyFill="1" applyBorder="1" applyAlignment="1">
      <alignment horizontal="center" vertical="center"/>
    </xf>
    <xf numFmtId="0" fontId="117" fillId="0" borderId="154" xfId="0" applyFont="1" applyBorder="1" applyAlignment="1">
      <alignment horizontal="center" vertical="center"/>
    </xf>
    <xf numFmtId="0" fontId="115" fillId="25" borderId="171" xfId="0" applyFont="1" applyFill="1" applyBorder="1" applyAlignment="1">
      <alignment horizontal="center" vertical="center"/>
    </xf>
    <xf numFmtId="0" fontId="121" fillId="25" borderId="145" xfId="0" applyFont="1" applyFill="1" applyBorder="1" applyAlignment="1">
      <alignment horizontal="center" vertical="center"/>
    </xf>
    <xf numFmtId="0" fontId="111" fillId="25" borderId="154" xfId="0" applyFont="1" applyFill="1" applyBorder="1" applyAlignment="1">
      <alignment horizontal="center" vertical="center"/>
    </xf>
    <xf numFmtId="0" fontId="122" fillId="27" borderId="142" xfId="0" applyFont="1" applyFill="1" applyBorder="1" applyAlignment="1">
      <alignment horizontal="left" vertical="center"/>
    </xf>
    <xf numFmtId="0" fontId="114" fillId="29" borderId="110" xfId="0" applyFont="1" applyFill="1" applyBorder="1" applyAlignment="1">
      <alignment horizontal="center" vertical="center"/>
    </xf>
    <xf numFmtId="0" fontId="114" fillId="29" borderId="94" xfId="0" applyFont="1" applyFill="1" applyBorder="1" applyAlignment="1">
      <alignment horizontal="center" vertical="center" wrapText="1"/>
    </xf>
    <xf numFmtId="0" fontId="114" fillId="29" borderId="92" xfId="0" applyFont="1" applyFill="1" applyBorder="1" applyAlignment="1">
      <alignment horizontal="center" vertical="center" wrapText="1"/>
    </xf>
    <xf numFmtId="9" fontId="114" fillId="29" borderId="155" xfId="0" applyNumberFormat="1" applyFont="1" applyFill="1" applyBorder="1" applyAlignment="1">
      <alignment horizontal="center" vertical="center"/>
    </xf>
    <xf numFmtId="0" fontId="114" fillId="29" borderId="155" xfId="0" applyFont="1" applyFill="1" applyBorder="1" applyAlignment="1">
      <alignment horizontal="center" vertical="center"/>
    </xf>
    <xf numFmtId="9" fontId="114" fillId="29" borderId="122" xfId="0" applyNumberFormat="1" applyFont="1" applyFill="1" applyBorder="1" applyAlignment="1">
      <alignment horizontal="center" vertical="center"/>
    </xf>
    <xf numFmtId="9" fontId="111" fillId="27" borderId="150" xfId="0" applyNumberFormat="1" applyFont="1" applyFill="1" applyBorder="1" applyAlignment="1">
      <alignment horizontal="center" vertical="center" wrapText="1"/>
    </xf>
    <xf numFmtId="0" fontId="111" fillId="30" borderId="131" xfId="0" applyFont="1" applyFill="1" applyBorder="1" applyAlignment="1">
      <alignment horizontal="center" vertical="center" wrapText="1"/>
    </xf>
    <xf numFmtId="9" fontId="111" fillId="27" borderId="150" xfId="0" applyNumberFormat="1" applyFont="1" applyFill="1" applyBorder="1" applyAlignment="1">
      <alignment horizontal="center" vertical="center"/>
    </xf>
    <xf numFmtId="9" fontId="121" fillId="25" borderId="143" xfId="0" applyNumberFormat="1" applyFont="1" applyFill="1" applyBorder="1" applyAlignment="1">
      <alignment horizontal="center" vertical="center"/>
    </xf>
    <xf numFmtId="0" fontId="121" fillId="25" borderId="167" xfId="0" applyFont="1" applyFill="1" applyBorder="1" applyAlignment="1">
      <alignment horizontal="center" vertical="center"/>
    </xf>
    <xf numFmtId="9" fontId="121" fillId="25" borderId="168" xfId="0" applyNumberFormat="1" applyFont="1" applyFill="1" applyBorder="1" applyAlignment="1">
      <alignment horizontal="center" vertical="center"/>
    </xf>
    <xf numFmtId="0" fontId="115" fillId="26" borderId="155" xfId="0" applyFont="1" applyFill="1" applyBorder="1" applyAlignment="1">
      <alignment horizontal="center" vertical="center"/>
    </xf>
    <xf numFmtId="0" fontId="115" fillId="26" borderId="122" xfId="0" applyFont="1" applyFill="1" applyBorder="1" applyAlignment="1">
      <alignment horizontal="center" vertical="center"/>
    </xf>
    <xf numFmtId="9" fontId="111" fillId="27" borderId="103" xfId="0" applyNumberFormat="1" applyFont="1" applyFill="1" applyBorder="1" applyAlignment="1">
      <alignment horizontal="center" vertical="center"/>
    </xf>
    <xf numFmtId="0" fontId="111" fillId="30" borderId="170" xfId="0" applyFont="1" applyFill="1" applyBorder="1" applyAlignment="1">
      <alignment horizontal="center" vertical="center" wrapText="1"/>
    </xf>
    <xf numFmtId="9" fontId="121" fillId="25" borderId="0" xfId="0" applyNumberFormat="1" applyFont="1" applyFill="1" applyAlignment="1">
      <alignment horizontal="center" vertical="center"/>
    </xf>
    <xf numFmtId="0" fontId="121" fillId="25" borderId="149" xfId="0" applyFont="1" applyFill="1" applyBorder="1" applyAlignment="1">
      <alignment horizontal="center" vertical="center"/>
    </xf>
    <xf numFmtId="9" fontId="121" fillId="25" borderId="166" xfId="0" applyNumberFormat="1" applyFont="1" applyFill="1" applyBorder="1" applyAlignment="1">
      <alignment horizontal="center" vertical="center"/>
    </xf>
    <xf numFmtId="0" fontId="115" fillId="26" borderId="159" xfId="0" applyFont="1" applyFill="1" applyBorder="1" applyAlignment="1">
      <alignment horizontal="center" vertical="center"/>
    </xf>
    <xf numFmtId="0" fontId="115" fillId="26" borderId="169" xfId="0" applyFont="1" applyFill="1" applyBorder="1" applyAlignment="1">
      <alignment horizontal="center" vertical="center"/>
    </xf>
    <xf numFmtId="9" fontId="121" fillId="25" borderId="103" xfId="0" applyNumberFormat="1" applyFont="1" applyFill="1" applyBorder="1" applyAlignment="1">
      <alignment horizontal="center" vertical="center"/>
    </xf>
    <xf numFmtId="0" fontId="121" fillId="25" borderId="172" xfId="0" applyFont="1" applyFill="1" applyBorder="1" applyAlignment="1">
      <alignment horizontal="center" vertical="center"/>
    </xf>
    <xf numFmtId="9" fontId="121" fillId="25" borderId="173" xfId="0" applyNumberFormat="1" applyFont="1" applyFill="1" applyBorder="1" applyAlignment="1">
      <alignment horizontal="center" vertical="center"/>
    </xf>
    <xf numFmtId="9" fontId="120" fillId="27" borderId="119" xfId="0" applyNumberFormat="1" applyFont="1" applyFill="1" applyBorder="1" applyAlignment="1">
      <alignment horizontal="center" vertical="center"/>
    </xf>
    <xf numFmtId="0" fontId="120" fillId="30" borderId="126" xfId="0" applyFont="1" applyFill="1" applyBorder="1" applyAlignment="1">
      <alignment horizontal="center" vertical="center" wrapText="1"/>
    </xf>
    <xf numFmtId="9" fontId="111" fillId="27" borderId="102" xfId="0" applyNumberFormat="1" applyFont="1" applyFill="1" applyBorder="1" applyAlignment="1">
      <alignment horizontal="center" vertical="center"/>
    </xf>
    <xf numFmtId="9" fontId="120" fillId="27" borderId="125" xfId="0" applyNumberFormat="1" applyFont="1" applyFill="1" applyBorder="1" applyAlignment="1">
      <alignment horizontal="center" vertical="center"/>
    </xf>
    <xf numFmtId="9" fontId="115" fillId="27" borderId="102" xfId="0" applyNumberFormat="1" applyFont="1" applyFill="1" applyBorder="1" applyAlignment="1">
      <alignment horizontal="center" vertical="center"/>
    </xf>
    <xf numFmtId="0" fontId="120" fillId="30" borderId="170" xfId="0" applyFont="1" applyFill="1" applyBorder="1" applyAlignment="1">
      <alignment horizontal="center" vertical="center" wrapText="1"/>
    </xf>
    <xf numFmtId="9" fontId="121" fillId="25" borderId="162" xfId="0" applyNumberFormat="1" applyFont="1" applyFill="1" applyBorder="1" applyAlignment="1">
      <alignment horizontal="center" vertical="center"/>
    </xf>
    <xf numFmtId="0" fontId="121" fillId="25" borderId="162" xfId="0" applyFont="1" applyFill="1" applyBorder="1" applyAlignment="1">
      <alignment horizontal="center" vertical="center"/>
    </xf>
    <xf numFmtId="9" fontId="121" fillId="25" borderId="121" xfId="0" applyNumberFormat="1" applyFont="1" applyFill="1" applyBorder="1" applyAlignment="1">
      <alignment horizontal="center" vertical="center"/>
    </xf>
    <xf numFmtId="0" fontId="115" fillId="29" borderId="110" xfId="0" applyFont="1" applyFill="1" applyBorder="1" applyAlignment="1">
      <alignment horizontal="center" vertical="center"/>
    </xf>
    <xf numFmtId="0" fontId="115" fillId="29" borderId="94" xfId="0" applyFont="1" applyFill="1" applyBorder="1" applyAlignment="1">
      <alignment horizontal="center" vertical="center"/>
    </xf>
    <xf numFmtId="0" fontId="115" fillId="29" borderId="92" xfId="0" applyFont="1" applyFill="1" applyBorder="1" applyAlignment="1">
      <alignment horizontal="center" vertical="center" wrapText="1"/>
    </xf>
    <xf numFmtId="9" fontId="122" fillId="29" borderId="155" xfId="0" applyNumberFormat="1" applyFont="1" applyFill="1" applyBorder="1" applyAlignment="1">
      <alignment horizontal="center" vertical="center"/>
    </xf>
    <xf numFmtId="9" fontId="122" fillId="29" borderId="122" xfId="0" applyNumberFormat="1" applyFont="1" applyFill="1" applyBorder="1" applyAlignment="1">
      <alignment horizontal="center" vertical="center"/>
    </xf>
    <xf numFmtId="0" fontId="120" fillId="30" borderId="118" xfId="0" applyFont="1" applyFill="1" applyBorder="1" applyAlignment="1">
      <alignment horizontal="center" vertical="center" wrapText="1"/>
    </xf>
    <xf numFmtId="9" fontId="119" fillId="25" borderId="173" xfId="0" applyNumberFormat="1" applyFont="1" applyFill="1" applyBorder="1" applyAlignment="1">
      <alignment horizontal="center" vertical="center"/>
    </xf>
    <xf numFmtId="0" fontId="72" fillId="0" borderId="0" xfId="0" applyFont="1" applyAlignment="1">
      <alignment vertical="center"/>
    </xf>
    <xf numFmtId="0" fontId="117" fillId="0" borderId="131" xfId="0" applyFont="1" applyBorder="1" applyAlignment="1">
      <alignment vertical="center"/>
    </xf>
    <xf numFmtId="0" fontId="117" fillId="0" borderId="119" xfId="0" applyFont="1" applyBorder="1" applyAlignment="1">
      <alignment vertical="center" wrapText="1"/>
    </xf>
    <xf numFmtId="0" fontId="117" fillId="0" borderId="155" xfId="0" applyFont="1" applyBorder="1" applyAlignment="1">
      <alignment vertical="center"/>
    </xf>
    <xf numFmtId="0" fontId="117" fillId="0" borderId="103" xfId="0" applyFont="1" applyBorder="1" applyAlignment="1">
      <alignment vertical="center" wrapText="1"/>
    </xf>
    <xf numFmtId="0" fontId="117" fillId="0" borderId="155" xfId="0" quotePrefix="1" applyFont="1" applyBorder="1" applyAlignment="1">
      <alignment vertical="center" wrapText="1"/>
    </xf>
    <xf numFmtId="0" fontId="73" fillId="0" borderId="0" xfId="0" applyFont="1" applyAlignment="1">
      <alignment vertical="center"/>
    </xf>
    <xf numFmtId="0" fontId="117" fillId="0" borderId="131" xfId="0" applyFont="1" applyBorder="1" applyAlignment="1">
      <alignment vertical="center" wrapText="1"/>
    </xf>
    <xf numFmtId="0" fontId="117" fillId="0" borderId="131" xfId="0" quotePrefix="1" applyFont="1" applyBorder="1" applyAlignment="1">
      <alignment vertical="center"/>
    </xf>
    <xf numFmtId="0" fontId="117" fillId="0" borderId="202" xfId="0" applyFont="1" applyBorder="1" applyAlignment="1">
      <alignment vertical="center" wrapText="1"/>
    </xf>
    <xf numFmtId="0" fontId="117" fillId="0" borderId="155" xfId="0" applyFont="1" applyBorder="1" applyAlignment="1">
      <alignment vertical="center" wrapText="1"/>
    </xf>
    <xf numFmtId="0" fontId="115" fillId="25" borderId="162" xfId="0" applyFont="1" applyFill="1" applyBorder="1" applyAlignment="1">
      <alignment vertical="center"/>
    </xf>
    <xf numFmtId="0" fontId="120" fillId="25" borderId="162" xfId="0" applyFont="1" applyFill="1" applyBorder="1" applyAlignment="1">
      <alignment vertical="center" wrapText="1"/>
    </xf>
    <xf numFmtId="0" fontId="121" fillId="25" borderId="162" xfId="0" applyFont="1" applyFill="1" applyBorder="1" applyAlignment="1">
      <alignment vertical="center" wrapText="1"/>
    </xf>
    <xf numFmtId="0" fontId="115" fillId="26" borderId="143" xfId="0" applyFont="1" applyFill="1" applyBorder="1" applyAlignment="1">
      <alignment vertical="center"/>
    </xf>
    <xf numFmtId="0" fontId="115" fillId="26" borderId="169" xfId="0" applyFont="1" applyFill="1" applyBorder="1" applyAlignment="1">
      <alignment vertical="center"/>
    </xf>
    <xf numFmtId="0" fontId="117" fillId="0" borderId="119" xfId="0" quotePrefix="1" applyFont="1" applyBorder="1" applyAlignment="1">
      <alignment vertical="center" wrapText="1"/>
    </xf>
    <xf numFmtId="0" fontId="117" fillId="0" borderId="131" xfId="0" quotePrefix="1" applyFont="1" applyBorder="1" applyAlignment="1">
      <alignment vertical="center" wrapText="1"/>
    </xf>
    <xf numFmtId="0" fontId="110" fillId="0" borderId="0" xfId="0" applyFont="1" applyAlignment="1">
      <alignment horizontal="right"/>
    </xf>
    <xf numFmtId="15" fontId="111" fillId="28" borderId="119" xfId="0" applyNumberFormat="1" applyFont="1" applyFill="1" applyBorder="1" applyAlignment="1">
      <alignment horizontal="left" wrapText="1"/>
    </xf>
    <xf numFmtId="15" fontId="111" fillId="28" borderId="119" xfId="0" applyNumberFormat="1" applyFont="1" applyFill="1" applyBorder="1" applyAlignment="1">
      <alignment horizontal="left"/>
    </xf>
    <xf numFmtId="0" fontId="100" fillId="0" borderId="1" xfId="0" applyFont="1" applyBorder="1" applyAlignment="1">
      <alignment horizontal="center" vertical="center"/>
    </xf>
    <xf numFmtId="0" fontId="101" fillId="0" borderId="1" xfId="0" applyFont="1" applyBorder="1" applyAlignment="1">
      <alignment horizontal="center" vertical="center"/>
    </xf>
    <xf numFmtId="0" fontId="100" fillId="0" borderId="131" xfId="0" applyFont="1" applyBorder="1" applyAlignment="1">
      <alignment horizontal="center" vertical="center" wrapText="1"/>
    </xf>
    <xf numFmtId="0" fontId="101" fillId="0" borderId="131" xfId="0" applyFont="1" applyBorder="1" applyAlignment="1">
      <alignment horizontal="center" vertical="center"/>
    </xf>
    <xf numFmtId="0" fontId="100" fillId="0" borderId="131" xfId="0" applyFont="1" applyBorder="1" applyAlignment="1">
      <alignment horizontal="center" vertical="center"/>
    </xf>
    <xf numFmtId="0" fontId="100" fillId="0" borderId="155" xfId="0" applyFont="1" applyBorder="1" applyAlignment="1">
      <alignment horizontal="center" vertical="center" wrapText="1"/>
    </xf>
    <xf numFmtId="0" fontId="101" fillId="0" borderId="155" xfId="0" applyFont="1" applyBorder="1" applyAlignment="1">
      <alignment horizontal="center" vertical="center"/>
    </xf>
    <xf numFmtId="0" fontId="100" fillId="0" borderId="155" xfId="0" applyFont="1" applyBorder="1" applyAlignment="1">
      <alignment horizontal="center" vertical="center"/>
    </xf>
    <xf numFmtId="9" fontId="110" fillId="27" borderId="101" xfId="0" applyNumberFormat="1" applyFont="1" applyFill="1" applyBorder="1" applyAlignment="1">
      <alignment horizontal="center" vertical="center"/>
    </xf>
    <xf numFmtId="9" fontId="122" fillId="0" borderId="0" xfId="0" applyNumberFormat="1" applyFont="1" applyAlignment="1">
      <alignment horizontal="center"/>
    </xf>
    <xf numFmtId="0" fontId="125" fillId="0" borderId="0" xfId="0" applyFont="1"/>
    <xf numFmtId="0" fontId="127" fillId="0" borderId="3" xfId="0" applyFont="1" applyBorder="1"/>
    <xf numFmtId="0" fontId="127" fillId="0" borderId="5" xfId="0" applyFont="1" applyBorder="1"/>
    <xf numFmtId="0" fontId="127" fillId="0" borderId="2" xfId="0" applyFont="1" applyBorder="1"/>
    <xf numFmtId="0" fontId="128" fillId="0" borderId="0" xfId="0" applyFont="1" applyAlignment="1">
      <alignment horizontal="center" vertical="center"/>
    </xf>
    <xf numFmtId="0" fontId="128" fillId="0" borderId="8" xfId="0" applyFont="1" applyBorder="1" applyAlignment="1">
      <alignment horizontal="center" vertical="center"/>
    </xf>
    <xf numFmtId="0" fontId="127" fillId="0" borderId="0" xfId="0" applyFont="1"/>
    <xf numFmtId="0" fontId="133" fillId="0" borderId="0" xfId="0" applyFont="1" applyAlignment="1">
      <alignment wrapText="1"/>
    </xf>
    <xf numFmtId="0" fontId="125" fillId="0" borderId="0" xfId="0" applyFont="1" applyAlignment="1">
      <alignment horizontal="center"/>
    </xf>
    <xf numFmtId="9" fontId="127" fillId="32" borderId="131" xfId="0" applyNumberFormat="1" applyFont="1" applyFill="1" applyBorder="1" applyAlignment="1">
      <alignment horizontal="center" vertical="center"/>
    </xf>
    <xf numFmtId="0" fontId="135" fillId="0" borderId="0" xfId="0" applyFont="1"/>
    <xf numFmtId="0" fontId="129" fillId="0" borderId="9" xfId="0" applyFont="1" applyBorder="1" applyAlignment="1">
      <alignment horizontal="center" wrapText="1"/>
    </xf>
    <xf numFmtId="9" fontId="132" fillId="0" borderId="1" xfId="0" applyNumberFormat="1" applyFont="1" applyBorder="1" applyAlignment="1">
      <alignment horizontal="center"/>
    </xf>
    <xf numFmtId="9" fontId="132" fillId="0" borderId="204" xfId="0" applyNumberFormat="1" applyFont="1" applyBorder="1" applyAlignment="1">
      <alignment horizontal="center"/>
    </xf>
    <xf numFmtId="0" fontId="127" fillId="0" borderId="1" xfId="0" applyFont="1" applyBorder="1"/>
    <xf numFmtId="0" fontId="1" fillId="0" borderId="0" xfId="0" applyFont="1" applyAlignment="1">
      <alignment horizontal="left" vertical="center" wrapText="1"/>
    </xf>
    <xf numFmtId="0" fontId="90" fillId="0" borderId="0" xfId="0" applyFont="1"/>
    <xf numFmtId="0" fontId="90" fillId="0" borderId="8" xfId="0" applyFont="1" applyBorder="1"/>
    <xf numFmtId="0" fontId="90" fillId="0" borderId="4" xfId="0" applyFont="1" applyBorder="1"/>
    <xf numFmtId="0" fontId="90" fillId="0" borderId="6" xfId="0" applyFont="1" applyBorder="1"/>
    <xf numFmtId="0" fontId="90" fillId="0" borderId="2" xfId="0" applyFont="1" applyBorder="1"/>
    <xf numFmtId="0" fontId="90" fillId="0" borderId="7" xfId="0" applyFont="1" applyBorder="1"/>
    <xf numFmtId="0" fontId="90" fillId="0" borderId="0" xfId="0" applyFont="1" applyAlignment="1">
      <alignment wrapText="1"/>
    </xf>
    <xf numFmtId="0" fontId="45" fillId="0" borderId="0" xfId="0" applyFont="1"/>
    <xf numFmtId="0" fontId="46" fillId="0" borderId="0" xfId="0" applyFont="1"/>
    <xf numFmtId="0" fontId="46" fillId="0" borderId="0" xfId="0" applyFont="1" applyAlignment="1">
      <alignment vertical="center"/>
    </xf>
    <xf numFmtId="0" fontId="46" fillId="0" borderId="131" xfId="0" applyFont="1" applyBorder="1" applyAlignment="1">
      <alignment vertical="center" wrapText="1"/>
    </xf>
    <xf numFmtId="9" fontId="46" fillId="0" borderId="0" xfId="0" applyNumberFormat="1" applyFont="1" applyAlignment="1">
      <alignment horizontal="left"/>
    </xf>
    <xf numFmtId="9" fontId="46" fillId="0" borderId="0" xfId="0" applyNumberFormat="1" applyFont="1"/>
    <xf numFmtId="0" fontId="46" fillId="0" borderId="0" xfId="0" applyFont="1" applyAlignment="1">
      <alignment horizontal="right" vertical="center"/>
    </xf>
    <xf numFmtId="0" fontId="46" fillId="0" borderId="89" xfId="0" applyFont="1" applyBorder="1"/>
    <xf numFmtId="0" fontId="46" fillId="0" borderId="90" xfId="0" applyFont="1" applyBorder="1"/>
    <xf numFmtId="0" fontId="46" fillId="0" borderId="90" xfId="0" applyFont="1" applyBorder="1" applyAlignment="1">
      <alignment wrapText="1"/>
    </xf>
    <xf numFmtId="0" fontId="46" fillId="0" borderId="120" xfId="0" applyFont="1" applyBorder="1"/>
    <xf numFmtId="0" fontId="46" fillId="0" borderId="96" xfId="0" applyFont="1" applyBorder="1"/>
    <xf numFmtId="0" fontId="46" fillId="0" borderId="0" xfId="0" applyFont="1" applyAlignment="1">
      <alignment wrapText="1"/>
    </xf>
    <xf numFmtId="0" fontId="46" fillId="0" borderId="121" xfId="0" applyFont="1" applyBorder="1"/>
    <xf numFmtId="0" fontId="46" fillId="0" borderId="96" xfId="0" applyFont="1" applyBorder="1" applyAlignment="1">
      <alignment horizontal="right"/>
    </xf>
    <xf numFmtId="0" fontId="45" fillId="0" borderId="96" xfId="0" applyFont="1" applyBorder="1" applyAlignment="1">
      <alignment horizontal="right"/>
    </xf>
    <xf numFmtId="0" fontId="46" fillId="0" borderId="103" xfId="0" applyFont="1" applyBorder="1" applyAlignment="1">
      <alignment wrapText="1"/>
    </xf>
    <xf numFmtId="0" fontId="45" fillId="0" borderId="103" xfId="0" applyFont="1" applyBorder="1"/>
    <xf numFmtId="0" fontId="46" fillId="0" borderId="103" xfId="0" applyFont="1" applyBorder="1"/>
    <xf numFmtId="0" fontId="46" fillId="0" borderId="122" xfId="0" applyFont="1" applyBorder="1"/>
    <xf numFmtId="0" fontId="46" fillId="0" borderId="150" xfId="0" applyFont="1" applyBorder="1" applyAlignment="1">
      <alignment horizontal="center" vertical="center"/>
    </xf>
    <xf numFmtId="0" fontId="46" fillId="0" borderId="154" xfId="0" applyFont="1" applyBorder="1" applyAlignment="1">
      <alignment horizontal="center" vertical="center"/>
    </xf>
    <xf numFmtId="0" fontId="46" fillId="0" borderId="155" xfId="0" applyFont="1" applyBorder="1" applyAlignment="1">
      <alignment vertical="center"/>
    </xf>
    <xf numFmtId="0" fontId="46" fillId="0" borderId="155" xfId="0" applyFont="1" applyBorder="1" applyAlignment="1">
      <alignment vertical="center" wrapText="1"/>
    </xf>
    <xf numFmtId="0" fontId="46" fillId="0" borderId="131" xfId="0" applyFont="1" applyBorder="1" applyAlignment="1">
      <alignment vertical="center"/>
    </xf>
    <xf numFmtId="0" fontId="46" fillId="0" borderId="155" xfId="0" quotePrefix="1" applyFont="1" applyBorder="1" applyAlignment="1">
      <alignment vertical="center"/>
    </xf>
    <xf numFmtId="2" fontId="1" fillId="0" borderId="0" xfId="0" applyNumberFormat="1" applyFont="1" applyAlignment="1">
      <alignment horizontal="center"/>
    </xf>
    <xf numFmtId="164" fontId="1" fillId="0" borderId="0" xfId="0" applyNumberFormat="1" applyFont="1" applyAlignment="1">
      <alignment horizontal="center"/>
    </xf>
    <xf numFmtId="0" fontId="23" fillId="10" borderId="0" xfId="0" applyFont="1" applyFill="1" applyAlignment="1">
      <alignment horizontal="center"/>
    </xf>
    <xf numFmtId="0" fontId="0" fillId="0" borderId="10" xfId="0" applyBorder="1" applyAlignment="1">
      <alignment horizontal="right" indent="2"/>
    </xf>
    <xf numFmtId="0" fontId="0" fillId="2" borderId="10" xfId="0"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0" fillId="0" borderId="17" xfId="0" applyBorder="1" applyAlignment="1">
      <alignment horizontal="right" indent="2"/>
    </xf>
    <xf numFmtId="0" fontId="21" fillId="9" borderId="17" xfId="0" applyFont="1" applyFill="1" applyBorder="1" applyAlignment="1">
      <alignment horizontal="center" vertical="center"/>
    </xf>
    <xf numFmtId="0" fontId="21" fillId="9" borderId="10" xfId="0" applyFont="1" applyFill="1" applyBorder="1" applyAlignment="1">
      <alignment horizontal="center" vertical="center"/>
    </xf>
    <xf numFmtId="0" fontId="46" fillId="0" borderId="15" xfId="0" applyFont="1" applyBorder="1" applyAlignment="1">
      <alignment horizontal="left" vertical="top" wrapText="1"/>
    </xf>
    <xf numFmtId="0" fontId="46" fillId="0" borderId="16" xfId="0" applyFont="1" applyBorder="1" applyAlignment="1">
      <alignment horizontal="left" vertical="top" wrapText="1"/>
    </xf>
    <xf numFmtId="0" fontId="46" fillId="0" borderId="19" xfId="0" applyFont="1" applyBorder="1" applyAlignment="1">
      <alignment horizontal="left" vertical="top" wrapText="1"/>
    </xf>
    <xf numFmtId="0" fontId="46" fillId="0" borderId="22" xfId="0" applyFont="1" applyBorder="1" applyAlignment="1">
      <alignment horizontal="left" vertical="top" wrapText="1"/>
    </xf>
    <xf numFmtId="0" fontId="46" fillId="0" borderId="54" xfId="0" applyFont="1" applyBorder="1" applyAlignment="1">
      <alignment horizontal="left" vertical="top" wrapText="1"/>
    </xf>
    <xf numFmtId="0" fontId="46" fillId="0" borderId="55" xfId="0" applyFont="1" applyBorder="1" applyAlignment="1">
      <alignment horizontal="left" vertical="top" wrapText="1"/>
    </xf>
    <xf numFmtId="0" fontId="33" fillId="0" borderId="49" xfId="0" applyFont="1" applyBorder="1" applyAlignment="1">
      <alignment horizontal="center" vertical="center" wrapText="1"/>
    </xf>
    <xf numFmtId="0" fontId="33" fillId="11" borderId="42" xfId="0" applyFont="1" applyFill="1" applyBorder="1" applyAlignment="1">
      <alignment horizontal="center" vertical="center" wrapText="1"/>
    </xf>
    <xf numFmtId="1" fontId="33" fillId="2" borderId="42" xfId="1" applyNumberFormat="1" applyFont="1" applyFill="1" applyBorder="1" applyAlignment="1">
      <alignment horizontal="center" vertical="center" wrapText="1"/>
    </xf>
    <xf numFmtId="0" fontId="33" fillId="0" borderId="40" xfId="0" applyFont="1" applyBorder="1" applyAlignment="1">
      <alignment horizontal="center" vertical="center"/>
    </xf>
    <xf numFmtId="0" fontId="33" fillId="0" borderId="46" xfId="0" applyFont="1" applyBorder="1" applyAlignment="1">
      <alignment horizontal="center" vertical="center"/>
    </xf>
    <xf numFmtId="0" fontId="33" fillId="0" borderId="41" xfId="0" applyFont="1" applyBorder="1" applyAlignment="1">
      <alignment horizontal="center" vertical="center"/>
    </xf>
    <xf numFmtId="9" fontId="42" fillId="0" borderId="40" xfId="1" applyFont="1" applyFill="1" applyBorder="1" applyAlignment="1">
      <alignment horizontal="left" vertical="center" wrapText="1"/>
    </xf>
    <xf numFmtId="9" fontId="42" fillId="0" borderId="46" xfId="1" applyFont="1" applyFill="1" applyBorder="1" applyAlignment="1">
      <alignment horizontal="left" vertical="center" wrapText="1"/>
    </xf>
    <xf numFmtId="0" fontId="42" fillId="0" borderId="52" xfId="0" applyFont="1" applyBorder="1" applyAlignment="1">
      <alignment horizontal="left" vertical="center" wrapText="1"/>
    </xf>
    <xf numFmtId="0" fontId="42" fillId="0" borderId="53" xfId="0" applyFont="1" applyBorder="1" applyAlignment="1">
      <alignment horizontal="left" vertical="center" wrapText="1"/>
    </xf>
    <xf numFmtId="0" fontId="33" fillId="0" borderId="46" xfId="0" applyFont="1" applyBorder="1" applyAlignment="1">
      <alignment horizontal="center" vertical="center" wrapText="1"/>
    </xf>
    <xf numFmtId="0" fontId="33" fillId="0" borderId="41" xfId="0" applyFont="1" applyBorder="1" applyAlignment="1">
      <alignment horizontal="center" vertical="center" wrapText="1"/>
    </xf>
    <xf numFmtId="0" fontId="33" fillId="0" borderId="0" xfId="0" applyFont="1" applyAlignment="1">
      <alignment horizontal="center" vertical="center" wrapText="1"/>
    </xf>
    <xf numFmtId="0" fontId="33" fillId="0" borderId="43" xfId="0" applyFont="1" applyBorder="1" applyAlignment="1">
      <alignment horizontal="center" vertical="center" wrapText="1"/>
    </xf>
    <xf numFmtId="0" fontId="33" fillId="0" borderId="46" xfId="0" applyFont="1" applyBorder="1" applyAlignment="1">
      <alignment horizontal="center" wrapText="1"/>
    </xf>
    <xf numFmtId="0" fontId="33" fillId="0" borderId="41" xfId="0" applyFont="1" applyBorder="1" applyAlignment="1">
      <alignment horizontal="center" wrapText="1"/>
    </xf>
    <xf numFmtId="0" fontId="35" fillId="0" borderId="0" xfId="0" applyFont="1" applyAlignment="1">
      <alignment horizontal="center" vertical="top" wrapText="1"/>
    </xf>
    <xf numFmtId="0" fontId="35" fillId="0" borderId="43" xfId="0" applyFont="1" applyBorder="1" applyAlignment="1">
      <alignment horizontal="center" vertical="top" wrapText="1"/>
    </xf>
    <xf numFmtId="9" fontId="42" fillId="0" borderId="49" xfId="1" applyFont="1" applyFill="1" applyBorder="1" applyAlignment="1">
      <alignment horizontal="left" vertical="center" wrapText="1"/>
    </xf>
    <xf numFmtId="9" fontId="42" fillId="0" borderId="48" xfId="1" applyFont="1" applyFill="1" applyBorder="1" applyAlignment="1">
      <alignment horizontal="left" vertical="center" wrapText="1"/>
    </xf>
    <xf numFmtId="0" fontId="42" fillId="0" borderId="50" xfId="0" applyFont="1" applyBorder="1" applyAlignment="1">
      <alignment horizontal="left" vertical="center" wrapText="1"/>
    </xf>
    <xf numFmtId="0" fontId="42" fillId="0" borderId="51" xfId="0" applyFont="1" applyBorder="1" applyAlignment="1">
      <alignment horizontal="left" vertical="center" wrapText="1"/>
    </xf>
    <xf numFmtId="0" fontId="5" fillId="0" borderId="46" xfId="0" applyFont="1" applyBorder="1" applyAlignment="1">
      <alignment horizontal="center" vertical="center"/>
    </xf>
    <xf numFmtId="0" fontId="5" fillId="0" borderId="0" xfId="0" applyFont="1" applyAlignment="1">
      <alignment horizontal="center" vertical="center"/>
    </xf>
    <xf numFmtId="9" fontId="24" fillId="0" borderId="46" xfId="0" applyNumberFormat="1" applyFont="1" applyBorder="1" applyAlignment="1">
      <alignment horizontal="center" vertical="center"/>
    </xf>
    <xf numFmtId="9" fontId="24" fillId="0" borderId="0" xfId="0" applyNumberFormat="1" applyFont="1" applyAlignment="1">
      <alignment horizontal="center" vertical="center"/>
    </xf>
    <xf numFmtId="9" fontId="24" fillId="0" borderId="47" xfId="0" applyNumberFormat="1" applyFont="1" applyBorder="1" applyAlignment="1">
      <alignment horizontal="center" vertical="center"/>
    </xf>
    <xf numFmtId="0" fontId="0" fillId="0" borderId="49" xfId="0" applyBorder="1" applyAlignment="1">
      <alignment horizontal="left" vertical="center" indent="3"/>
    </xf>
    <xf numFmtId="15" fontId="0" fillId="0" borderId="49" xfId="0" applyNumberFormat="1" applyBorder="1" applyAlignment="1">
      <alignment horizontal="left" vertical="center" indent="3"/>
    </xf>
    <xf numFmtId="0" fontId="24" fillId="0" borderId="0" xfId="0" applyFont="1" applyAlignment="1">
      <alignment horizontal="center"/>
    </xf>
    <xf numFmtId="0" fontId="41" fillId="12" borderId="0" xfId="0" applyFont="1" applyFill="1" applyAlignment="1">
      <alignment horizontal="right" vertical="center"/>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5" fillId="0" borderId="42" xfId="0" applyFont="1" applyBorder="1" applyAlignment="1">
      <alignment horizontal="center" vertical="center"/>
    </xf>
    <xf numFmtId="0" fontId="5" fillId="0" borderId="43" xfId="0" applyFont="1" applyBorder="1" applyAlignment="1">
      <alignment horizontal="center" vertical="center"/>
    </xf>
    <xf numFmtId="9" fontId="43" fillId="0" borderId="40" xfId="0" applyNumberFormat="1" applyFont="1" applyBorder="1" applyAlignment="1">
      <alignment horizontal="left" vertical="center" wrapText="1"/>
    </xf>
    <xf numFmtId="9" fontId="42" fillId="0" borderId="46" xfId="0" applyNumberFormat="1" applyFont="1" applyBorder="1" applyAlignment="1">
      <alignment horizontal="left" vertical="center"/>
    </xf>
    <xf numFmtId="9" fontId="42" fillId="0" borderId="41" xfId="0" applyNumberFormat="1" applyFont="1" applyBorder="1" applyAlignment="1">
      <alignment horizontal="left" vertical="center"/>
    </xf>
    <xf numFmtId="9" fontId="42" fillId="0" borderId="42" xfId="0" applyNumberFormat="1" applyFont="1" applyBorder="1" applyAlignment="1">
      <alignment horizontal="left" vertical="center"/>
    </xf>
    <xf numFmtId="9" fontId="42" fillId="0" borderId="0" xfId="0" applyNumberFormat="1" applyFont="1" applyAlignment="1">
      <alignment horizontal="left" vertical="center"/>
    </xf>
    <xf numFmtId="9" fontId="42" fillId="0" borderId="43" xfId="0" applyNumberFormat="1" applyFont="1" applyBorder="1" applyAlignment="1">
      <alignment horizontal="left" vertical="center"/>
    </xf>
    <xf numFmtId="9" fontId="42" fillId="0" borderId="44" xfId="0" applyNumberFormat="1" applyFont="1" applyBorder="1" applyAlignment="1">
      <alignment horizontal="left" vertical="center"/>
    </xf>
    <xf numFmtId="9" fontId="42" fillId="0" borderId="47" xfId="0" applyNumberFormat="1" applyFont="1" applyBorder="1" applyAlignment="1">
      <alignment horizontal="left" vertical="center"/>
    </xf>
    <xf numFmtId="9" fontId="42" fillId="0" borderId="45" xfId="0" applyNumberFormat="1" applyFont="1" applyBorder="1" applyAlignment="1">
      <alignment horizontal="left" vertical="center"/>
    </xf>
    <xf numFmtId="2" fontId="28" fillId="0" borderId="49" xfId="0" applyNumberFormat="1" applyFont="1" applyBorder="1" applyAlignment="1">
      <alignment horizontal="center" vertical="center"/>
    </xf>
    <xf numFmtId="9" fontId="29" fillId="0" borderId="49" xfId="0" applyNumberFormat="1" applyFont="1" applyBorder="1" applyAlignment="1">
      <alignment horizontal="center" vertical="center"/>
    </xf>
    <xf numFmtId="0" fontId="25" fillId="0" borderId="49" xfId="0" applyFont="1" applyBorder="1" applyAlignment="1">
      <alignment horizontal="left" vertical="center" indent="3"/>
    </xf>
    <xf numFmtId="15" fontId="90" fillId="0" borderId="97" xfId="0" applyNumberFormat="1" applyFont="1" applyBorder="1" applyAlignment="1">
      <alignment horizontal="left"/>
    </xf>
    <xf numFmtId="0" fontId="90" fillId="0" borderId="97" xfId="0" applyFont="1" applyBorder="1" applyAlignment="1">
      <alignment horizontal="left"/>
    </xf>
    <xf numFmtId="0" fontId="127" fillId="0" borderId="1" xfId="0" applyFont="1" applyBorder="1" applyAlignment="1">
      <alignment wrapText="1"/>
    </xf>
    <xf numFmtId="9" fontId="90" fillId="0" borderId="9" xfId="0" applyNumberFormat="1" applyFont="1" applyBorder="1" applyAlignment="1">
      <alignment horizontal="center"/>
    </xf>
    <xf numFmtId="9" fontId="90" fillId="0" borderId="203" xfId="0" applyNumberFormat="1" applyFont="1" applyBorder="1" applyAlignment="1">
      <alignment horizontal="center"/>
    </xf>
    <xf numFmtId="0" fontId="90" fillId="0" borderId="204" xfId="0" applyFont="1" applyBorder="1" applyAlignment="1">
      <alignment wrapText="1"/>
    </xf>
    <xf numFmtId="0" fontId="90" fillId="0" borderId="1" xfId="0" applyFont="1" applyBorder="1" applyAlignment="1">
      <alignment wrapText="1"/>
    </xf>
    <xf numFmtId="9" fontId="90" fillId="0" borderId="6" xfId="0" applyNumberFormat="1" applyFont="1" applyBorder="1" applyAlignment="1">
      <alignment horizontal="center"/>
    </xf>
    <xf numFmtId="0" fontId="133" fillId="0" borderId="1" xfId="0" applyFont="1" applyBorder="1" applyAlignment="1">
      <alignment wrapText="1"/>
    </xf>
    <xf numFmtId="0" fontId="90" fillId="0" borderId="0" xfId="0" applyFont="1" applyAlignment="1">
      <alignment wrapText="1"/>
    </xf>
    <xf numFmtId="0" fontId="133" fillId="0" borderId="0" xfId="0" applyFont="1" applyAlignment="1">
      <alignment wrapText="1"/>
    </xf>
    <xf numFmtId="0" fontId="46" fillId="0" borderId="195" xfId="0" applyFont="1" applyBorder="1" applyAlignment="1">
      <alignment vertical="center" wrapText="1"/>
    </xf>
    <xf numFmtId="0" fontId="46" fillId="0" borderId="1" xfId="0" applyFont="1" applyBorder="1" applyAlignment="1">
      <alignment vertical="center" wrapText="1"/>
    </xf>
    <xf numFmtId="0" fontId="46" fillId="0" borderId="184" xfId="0" applyFont="1" applyBorder="1" applyAlignment="1">
      <alignment vertical="center" wrapText="1"/>
    </xf>
    <xf numFmtId="0" fontId="100" fillId="0" borderId="185" xfId="0" applyFont="1" applyBorder="1" applyAlignment="1">
      <alignment vertical="center"/>
    </xf>
    <xf numFmtId="0" fontId="100" fillId="0" borderId="186" xfId="0" applyFont="1" applyBorder="1" applyAlignment="1">
      <alignment vertical="center"/>
    </xf>
    <xf numFmtId="0" fontId="101" fillId="0" borderId="180" xfId="0" applyFont="1" applyBorder="1" applyAlignment="1">
      <alignment horizontal="center" vertical="center"/>
    </xf>
    <xf numFmtId="0" fontId="101" fillId="0" borderId="181" xfId="0" applyFont="1" applyBorder="1" applyAlignment="1">
      <alignment horizontal="center" vertical="center"/>
    </xf>
    <xf numFmtId="0" fontId="100" fillId="0" borderId="119" xfId="0" applyFont="1" applyBorder="1" applyAlignment="1">
      <alignment vertical="center"/>
    </xf>
    <xf numFmtId="0" fontId="100" fillId="0" borderId="176" xfId="0" applyFont="1" applyBorder="1" applyAlignment="1">
      <alignment vertical="center"/>
    </xf>
    <xf numFmtId="15" fontId="100" fillId="0" borderId="97" xfId="0" applyNumberFormat="1" applyFont="1" applyBorder="1" applyAlignment="1">
      <alignment horizontal="left" vertical="center"/>
    </xf>
    <xf numFmtId="0" fontId="100" fillId="0" borderId="141" xfId="0" applyFont="1" applyBorder="1" applyAlignment="1">
      <alignment horizontal="left" vertical="center"/>
    </xf>
    <xf numFmtId="0" fontId="100" fillId="0" borderId="97" xfId="0" applyFont="1" applyBorder="1" applyAlignment="1">
      <alignment vertical="center"/>
    </xf>
    <xf numFmtId="0" fontId="100" fillId="0" borderId="141" xfId="0" applyFont="1" applyBorder="1" applyAlignment="1">
      <alignment vertical="center"/>
    </xf>
    <xf numFmtId="0" fontId="100" fillId="0" borderId="139" xfId="0" applyFont="1" applyBorder="1" applyAlignment="1">
      <alignment vertical="center"/>
    </xf>
    <xf numFmtId="0" fontId="100" fillId="0" borderId="140" xfId="0" applyFont="1" applyBorder="1" applyAlignment="1">
      <alignment vertical="center"/>
    </xf>
    <xf numFmtId="0" fontId="102" fillId="0" borderId="89" xfId="0" applyFont="1" applyBorder="1" applyAlignment="1">
      <alignment horizontal="center" vertical="center"/>
    </xf>
    <xf numFmtId="0" fontId="102" fillId="0" borderId="90" xfId="0" applyFont="1" applyBorder="1" applyAlignment="1">
      <alignment horizontal="center" vertical="center"/>
    </xf>
    <xf numFmtId="0" fontId="102" fillId="0" borderId="148" xfId="0" applyFont="1" applyBorder="1" applyAlignment="1">
      <alignment horizontal="center" vertical="center"/>
    </xf>
    <xf numFmtId="0" fontId="102" fillId="0" borderId="179" xfId="0" applyFont="1" applyBorder="1" applyAlignment="1">
      <alignment horizontal="center" vertical="center"/>
    </xf>
    <xf numFmtId="0" fontId="102" fillId="0" borderId="194" xfId="0" applyFont="1" applyBorder="1" applyAlignment="1">
      <alignment horizontal="center" vertical="center"/>
    </xf>
    <xf numFmtId="0" fontId="102" fillId="0" borderId="157" xfId="0" applyFont="1" applyBorder="1" applyAlignment="1">
      <alignment horizontal="center" vertical="center"/>
    </xf>
    <xf numFmtId="0" fontId="102" fillId="0" borderId="178" xfId="0" applyFont="1" applyBorder="1" applyAlignment="1">
      <alignment horizontal="center" vertical="center"/>
    </xf>
    <xf numFmtId="0" fontId="46" fillId="0" borderId="196" xfId="0" applyFont="1" applyBorder="1" applyAlignment="1">
      <alignment vertical="center" wrapText="1"/>
    </xf>
    <xf numFmtId="0" fontId="46" fillId="0" borderId="131" xfId="0" applyFont="1" applyBorder="1" applyAlignment="1">
      <alignment vertical="center" wrapText="1"/>
    </xf>
    <xf numFmtId="0" fontId="46" fillId="0" borderId="119" xfId="0" applyFont="1" applyBorder="1" applyAlignment="1">
      <alignment vertical="center" wrapText="1"/>
    </xf>
    <xf numFmtId="0" fontId="46" fillId="0" borderId="176" xfId="0" applyFont="1" applyBorder="1" applyAlignment="1">
      <alignment vertical="center" wrapText="1"/>
    </xf>
    <xf numFmtId="0" fontId="46" fillId="0" borderId="197" xfId="0" applyFont="1" applyBorder="1" applyAlignment="1">
      <alignment vertical="center" wrapText="1"/>
    </xf>
    <xf numFmtId="0" fontId="46" fillId="0" borderId="191" xfId="0" applyFont="1" applyBorder="1" applyAlignment="1">
      <alignment vertical="center" wrapText="1"/>
    </xf>
    <xf numFmtId="0" fontId="46" fillId="0" borderId="190" xfId="0" applyFont="1" applyBorder="1" applyAlignment="1">
      <alignment vertical="center" wrapText="1"/>
    </xf>
    <xf numFmtId="0" fontId="46" fillId="0" borderId="136" xfId="0" applyFont="1" applyBorder="1" applyAlignment="1">
      <alignment vertical="center" wrapText="1"/>
    </xf>
    <xf numFmtId="0" fontId="106" fillId="0" borderId="0" xfId="0" applyFont="1" applyAlignment="1">
      <alignment vertical="center" wrapText="1"/>
    </xf>
    <xf numFmtId="0" fontId="105" fillId="0" borderId="119" xfId="0" applyFont="1" applyBorder="1" applyAlignment="1">
      <alignment horizontal="center"/>
    </xf>
    <xf numFmtId="0" fontId="25" fillId="0" borderId="0" xfId="0" applyFont="1" applyAlignment="1">
      <alignment horizontal="center" vertical="center"/>
    </xf>
    <xf numFmtId="0" fontId="18" fillId="7" borderId="64" xfId="0" applyFont="1" applyFill="1" applyBorder="1" applyAlignment="1">
      <alignment horizontal="right" vertical="center" indent="1"/>
    </xf>
    <xf numFmtId="0" fontId="18" fillId="7" borderId="0" xfId="0" applyFont="1" applyFill="1" applyAlignment="1">
      <alignment horizontal="right" vertical="center" indent="1"/>
    </xf>
    <xf numFmtId="0" fontId="1" fillId="16" borderId="36" xfId="0" applyFont="1" applyFill="1" applyBorder="1" applyAlignment="1">
      <alignment horizontal="left" vertical="center" indent="2"/>
    </xf>
    <xf numFmtId="0" fontId="18" fillId="7" borderId="38" xfId="0" applyFont="1" applyFill="1" applyBorder="1" applyAlignment="1">
      <alignment horizontal="center" vertical="center"/>
    </xf>
    <xf numFmtId="0" fontId="18" fillId="7" borderId="65" xfId="0" applyFont="1" applyFill="1" applyBorder="1" applyAlignment="1">
      <alignment horizontal="center" vertical="center"/>
    </xf>
    <xf numFmtId="0" fontId="18" fillId="7" borderId="0" xfId="0" applyFont="1" applyFill="1" applyAlignment="1">
      <alignment horizontal="center" vertical="center"/>
    </xf>
    <xf numFmtId="0" fontId="18" fillId="7" borderId="64" xfId="0" applyFont="1" applyFill="1" applyBorder="1" applyAlignment="1">
      <alignment horizontal="center" vertical="center"/>
    </xf>
    <xf numFmtId="0" fontId="0" fillId="16" borderId="36" xfId="0" applyFill="1" applyBorder="1" applyAlignment="1">
      <alignment horizontal="left" vertical="center" indent="2"/>
    </xf>
    <xf numFmtId="165" fontId="53" fillId="16" borderId="37" xfId="0" applyNumberFormat="1" applyFont="1" applyFill="1" applyBorder="1" applyAlignment="1">
      <alignment horizontal="center" vertical="center"/>
    </xf>
    <xf numFmtId="0" fontId="53" fillId="16" borderId="36" xfId="0" applyFont="1" applyFill="1" applyBorder="1" applyAlignment="1">
      <alignment horizontal="center" vertical="center"/>
    </xf>
    <xf numFmtId="0" fontId="53" fillId="16" borderId="37" xfId="0" applyFont="1" applyFill="1" applyBorder="1" applyAlignment="1">
      <alignment horizontal="center" vertical="center"/>
    </xf>
    <xf numFmtId="0" fontId="6" fillId="16" borderId="37" xfId="0" applyFont="1" applyFill="1" applyBorder="1" applyAlignment="1">
      <alignment horizontal="center" vertical="center" wrapText="1"/>
    </xf>
    <xf numFmtId="0" fontId="6" fillId="16" borderId="36" xfId="0" applyFont="1" applyFill="1" applyBorder="1" applyAlignment="1">
      <alignment horizontal="center" vertical="center" wrapText="1"/>
    </xf>
    <xf numFmtId="0" fontId="0" fillId="16" borderId="36" xfId="0" applyFill="1" applyBorder="1" applyAlignment="1">
      <alignment horizontal="left" vertical="center" wrapText="1"/>
    </xf>
    <xf numFmtId="15" fontId="0" fillId="16" borderId="36" xfId="0" applyNumberFormat="1" applyFill="1" applyBorder="1" applyAlignment="1">
      <alignment horizontal="left" vertical="center" indent="2"/>
    </xf>
    <xf numFmtId="0" fontId="18" fillId="0" borderId="0" xfId="0" applyFont="1" applyAlignment="1">
      <alignment horizontal="center" vertical="center"/>
    </xf>
    <xf numFmtId="0" fontId="18" fillId="0" borderId="86" xfId="0" applyFont="1" applyBorder="1" applyAlignment="1">
      <alignment horizontal="center" vertical="center"/>
    </xf>
    <xf numFmtId="0" fontId="58" fillId="0" borderId="0" xfId="0" applyFont="1" applyAlignment="1">
      <alignment horizontal="center" vertical="center"/>
    </xf>
    <xf numFmtId="10" fontId="59" fillId="0" borderId="0" xfId="0" applyNumberFormat="1" applyFont="1" applyAlignment="1">
      <alignment horizontal="center" vertical="center"/>
    </xf>
    <xf numFmtId="165" fontId="59" fillId="0" borderId="0" xfId="0" applyNumberFormat="1" applyFont="1" applyAlignment="1">
      <alignment horizontal="center" vertical="center"/>
    </xf>
    <xf numFmtId="165" fontId="60" fillId="0" borderId="0" xfId="0" applyNumberFormat="1" applyFont="1" applyAlignment="1">
      <alignment horizontal="left" vertical="center" wrapText="1"/>
    </xf>
    <xf numFmtId="0" fontId="1" fillId="0" borderId="36" xfId="0" applyFont="1" applyBorder="1" applyAlignment="1">
      <alignment horizontal="left" vertical="center"/>
    </xf>
    <xf numFmtId="0" fontId="10" fillId="16" borderId="87" xfId="0" applyFont="1" applyFill="1" applyBorder="1" applyAlignment="1">
      <alignment horizontal="left" vertical="top" wrapText="1"/>
    </xf>
    <xf numFmtId="0" fontId="10" fillId="16" borderId="88" xfId="0" applyFont="1" applyFill="1" applyBorder="1" applyAlignment="1">
      <alignment horizontal="left" vertical="top" wrapText="1"/>
    </xf>
    <xf numFmtId="0" fontId="10" fillId="16" borderId="37" xfId="0" applyFont="1" applyFill="1" applyBorder="1" applyAlignment="1">
      <alignment horizontal="left" vertical="top" wrapText="1"/>
    </xf>
    <xf numFmtId="0" fontId="1" fillId="0" borderId="36" xfId="0" applyFont="1" applyBorder="1" applyAlignment="1">
      <alignment horizontal="left" vertical="center" wrapText="1"/>
    </xf>
    <xf numFmtId="0" fontId="1" fillId="0" borderId="87" xfId="0" applyFont="1" applyBorder="1" applyAlignment="1">
      <alignment horizontal="left" vertical="center"/>
    </xf>
    <xf numFmtId="0" fontId="1" fillId="0" borderId="37" xfId="0" applyFont="1" applyBorder="1" applyAlignment="1">
      <alignment horizontal="left" vertical="center"/>
    </xf>
    <xf numFmtId="0" fontId="46" fillId="0" borderId="97" xfId="0" applyFont="1" applyBorder="1" applyAlignment="1">
      <alignment vertical="center" wrapText="1"/>
    </xf>
    <xf numFmtId="0" fontId="46" fillId="0" borderId="100" xfId="0" applyFont="1" applyBorder="1" applyAlignment="1">
      <alignment vertical="center" wrapText="1"/>
    </xf>
    <xf numFmtId="0" fontId="46" fillId="0" borderId="141" xfId="0" applyFont="1" applyBorder="1" applyAlignment="1">
      <alignment vertical="center" wrapText="1"/>
    </xf>
    <xf numFmtId="0" fontId="102" fillId="0" borderId="142" xfId="0" applyFont="1" applyBorder="1" applyAlignment="1">
      <alignment horizontal="center" vertical="center"/>
    </xf>
    <xf numFmtId="0" fontId="102" fillId="0" borderId="143" xfId="0" applyFont="1" applyBorder="1" applyAlignment="1">
      <alignment horizontal="center" vertical="center"/>
    </xf>
    <xf numFmtId="0" fontId="102" fillId="0" borderId="144" xfId="0" applyFont="1" applyBorder="1" applyAlignment="1">
      <alignment horizontal="center" vertical="center"/>
    </xf>
    <xf numFmtId="0" fontId="102" fillId="0" borderId="146" xfId="0" applyFont="1" applyBorder="1" applyAlignment="1">
      <alignment horizontal="center" vertical="center"/>
    </xf>
    <xf numFmtId="0" fontId="46" fillId="0" borderId="91" xfId="0" applyFont="1" applyBorder="1" applyAlignment="1">
      <alignment vertical="center" wrapText="1"/>
    </xf>
    <xf numFmtId="0" fontId="46" fillId="0" borderId="94" xfId="0" applyFont="1" applyBorder="1" applyAlignment="1">
      <alignment vertical="center" wrapText="1"/>
    </xf>
    <xf numFmtId="0" fontId="46" fillId="0" borderId="133" xfId="0" applyFont="1" applyBorder="1" applyAlignment="1">
      <alignment vertical="center" wrapText="1"/>
    </xf>
    <xf numFmtId="0" fontId="46" fillId="0" borderId="153" xfId="0" applyFont="1" applyBorder="1" applyAlignment="1">
      <alignment vertical="center" wrapText="1"/>
    </xf>
    <xf numFmtId="0" fontId="46" fillId="0" borderId="104" xfId="0" applyFont="1" applyBorder="1" applyAlignment="1">
      <alignment vertical="center" wrapText="1"/>
    </xf>
    <xf numFmtId="0" fontId="46" fillId="0" borderId="107" xfId="0" applyFont="1" applyBorder="1" applyAlignment="1">
      <alignment vertical="center" wrapText="1"/>
    </xf>
    <xf numFmtId="0" fontId="46" fillId="0" borderId="152" xfId="0" applyFont="1" applyBorder="1" applyAlignment="1">
      <alignment vertical="center" wrapText="1"/>
    </xf>
    <xf numFmtId="0" fontId="101" fillId="0" borderId="104" xfId="0" applyFont="1" applyBorder="1" applyAlignment="1">
      <alignment horizontal="center" vertical="center"/>
    </xf>
    <xf numFmtId="0" fontId="101" fillId="0" borderId="152" xfId="0" applyFont="1" applyBorder="1" applyAlignment="1">
      <alignment horizontal="center" vertical="center"/>
    </xf>
    <xf numFmtId="0" fontId="109" fillId="26" borderId="89" xfId="0" applyFont="1" applyFill="1" applyBorder="1" applyAlignment="1">
      <alignment horizontal="center" vertical="center"/>
    </xf>
    <xf numFmtId="0" fontId="109" fillId="26" borderId="148" xfId="0" applyFont="1" applyFill="1" applyBorder="1" applyAlignment="1">
      <alignment horizontal="center" vertical="center"/>
    </xf>
    <xf numFmtId="0" fontId="109" fillId="26" borderId="156" xfId="0" applyFont="1" applyFill="1" applyBorder="1" applyAlignment="1">
      <alignment horizontal="center" vertical="center"/>
    </xf>
    <xf numFmtId="0" fontId="109" fillId="26" borderId="140" xfId="0" applyFont="1" applyFill="1" applyBorder="1" applyAlignment="1">
      <alignment horizontal="center" vertical="center"/>
    </xf>
    <xf numFmtId="9" fontId="112" fillId="26" borderId="96" xfId="0" applyNumberFormat="1" applyFont="1" applyFill="1" applyBorder="1" applyAlignment="1">
      <alignment horizontal="center" vertical="center"/>
    </xf>
    <xf numFmtId="0" fontId="112" fillId="26" borderId="138" xfId="0" applyFont="1" applyFill="1" applyBorder="1" applyAlignment="1">
      <alignment horizontal="center" vertical="center"/>
    </xf>
    <xf numFmtId="0" fontId="112" fillId="26" borderId="96" xfId="0" applyFont="1" applyFill="1" applyBorder="1" applyAlignment="1">
      <alignment horizontal="center" vertical="center"/>
    </xf>
    <xf numFmtId="0" fontId="112" fillId="26" borderId="156" xfId="0" applyFont="1" applyFill="1" applyBorder="1" applyAlignment="1">
      <alignment horizontal="center" vertical="center"/>
    </xf>
    <xf numFmtId="0" fontId="112" fillId="26" borderId="140" xfId="0" applyFont="1" applyFill="1" applyBorder="1" applyAlignment="1">
      <alignment horizontal="center" vertical="center"/>
    </xf>
    <xf numFmtId="0" fontId="45" fillId="0" borderId="102" xfId="0" applyFont="1" applyBorder="1" applyAlignment="1">
      <alignment horizontal="right"/>
    </xf>
    <xf numFmtId="0" fontId="45" fillId="0" borderId="103" xfId="0" applyFont="1" applyBorder="1" applyAlignment="1">
      <alignment horizontal="right"/>
    </xf>
    <xf numFmtId="0" fontId="115" fillId="26" borderId="96" xfId="0" applyFont="1" applyFill="1" applyBorder="1" applyAlignment="1">
      <alignment horizontal="center" vertical="center"/>
    </xf>
    <xf numFmtId="0" fontId="115" fillId="26" borderId="156" xfId="0" applyFont="1" applyFill="1" applyBorder="1" applyAlignment="1">
      <alignment horizontal="center" vertical="center"/>
    </xf>
    <xf numFmtId="0" fontId="115" fillId="26" borderId="171" xfId="0" applyFont="1" applyFill="1" applyBorder="1" applyAlignment="1">
      <alignment horizontal="center" vertical="center"/>
    </xf>
    <xf numFmtId="0" fontId="115" fillId="26" borderId="174" xfId="0" applyFont="1" applyFill="1" applyBorder="1" applyAlignment="1">
      <alignment horizontal="center" vertical="center"/>
    </xf>
    <xf numFmtId="0" fontId="115" fillId="26" borderId="164" xfId="0" applyFont="1" applyFill="1" applyBorder="1" applyAlignment="1">
      <alignment horizontal="center" vertical="center"/>
    </xf>
    <xf numFmtId="0" fontId="115" fillId="26" borderId="163" xfId="0" applyFont="1" applyFill="1" applyBorder="1" applyAlignment="1">
      <alignment horizontal="center" vertical="center"/>
    </xf>
    <xf numFmtId="0" fontId="115" fillId="26" borderId="166" xfId="0" applyFont="1" applyFill="1" applyBorder="1" applyAlignment="1">
      <alignment horizontal="center" vertical="center"/>
    </xf>
    <xf numFmtId="0" fontId="115" fillId="26" borderId="165" xfId="0" applyFont="1" applyFill="1" applyBorder="1" applyAlignment="1">
      <alignment horizontal="center" vertical="center"/>
    </xf>
    <xf numFmtId="0" fontId="115" fillId="26" borderId="143" xfId="0" applyFont="1" applyFill="1" applyBorder="1" applyAlignment="1">
      <alignment vertical="center"/>
    </xf>
    <xf numFmtId="0" fontId="115" fillId="26" borderId="144" xfId="0" applyFont="1" applyFill="1" applyBorder="1" applyAlignment="1">
      <alignment vertical="center"/>
    </xf>
    <xf numFmtId="0" fontId="100" fillId="0" borderId="151" xfId="0" applyFont="1" applyBorder="1" applyAlignment="1">
      <alignment horizontal="center" vertical="center"/>
    </xf>
    <xf numFmtId="0" fontId="100" fillId="0" borderId="134" xfId="0" applyFont="1" applyBorder="1" applyAlignment="1">
      <alignment horizontal="center" vertical="center"/>
    </xf>
    <xf numFmtId="0" fontId="100" fillId="0" borderId="137" xfId="0" applyFont="1" applyBorder="1" applyAlignment="1">
      <alignment horizontal="center" vertical="center"/>
    </xf>
    <xf numFmtId="0" fontId="100" fillId="0" borderId="149" xfId="0" applyFont="1" applyBorder="1" applyAlignment="1">
      <alignment horizontal="center" vertical="center"/>
    </xf>
    <xf numFmtId="0" fontId="100" fillId="0" borderId="0" xfId="0" applyFont="1" applyAlignment="1">
      <alignment horizontal="center" vertical="center"/>
    </xf>
    <xf numFmtId="0" fontId="100" fillId="0" borderId="138" xfId="0" applyFont="1" applyBorder="1" applyAlignment="1">
      <alignment horizontal="center" vertical="center"/>
    </xf>
    <xf numFmtId="0" fontId="100" fillId="0" borderId="200" xfId="0" applyFont="1" applyBorder="1" applyAlignment="1">
      <alignment horizontal="center" vertical="center"/>
    </xf>
    <xf numFmtId="0" fontId="100" fillId="0" borderId="8" xfId="0" applyFont="1" applyBorder="1" applyAlignment="1">
      <alignment horizontal="center" vertical="center"/>
    </xf>
    <xf numFmtId="0" fontId="100" fillId="0" borderId="199" xfId="0" applyFont="1" applyBorder="1" applyAlignment="1">
      <alignment horizontal="center" vertical="center"/>
    </xf>
    <xf numFmtId="0" fontId="115" fillId="26" borderId="147" xfId="0" applyFont="1" applyFill="1" applyBorder="1" applyAlignment="1">
      <alignment vertical="center"/>
    </xf>
    <xf numFmtId="0" fontId="115" fillId="26" borderId="90" xfId="0" applyFont="1" applyFill="1" applyBorder="1" applyAlignment="1">
      <alignment vertical="center"/>
    </xf>
    <xf numFmtId="0" fontId="115" fillId="26" borderId="148" xfId="0" applyFont="1" applyFill="1" applyBorder="1" applyAlignment="1">
      <alignment vertical="center"/>
    </xf>
    <xf numFmtId="0" fontId="115" fillId="26" borderId="175" xfId="0" applyFont="1" applyFill="1" applyBorder="1" applyAlignment="1">
      <alignment vertical="center"/>
    </xf>
    <xf numFmtId="0" fontId="115" fillId="26" borderId="139" xfId="0" applyFont="1" applyFill="1" applyBorder="1" applyAlignment="1">
      <alignment vertical="center"/>
    </xf>
    <xf numFmtId="0" fontId="115" fillId="26" borderId="140" xfId="0" applyFont="1" applyFill="1" applyBorder="1" applyAlignment="1">
      <alignment vertical="center"/>
    </xf>
    <xf numFmtId="0" fontId="108" fillId="25" borderId="123" xfId="0" applyFont="1" applyFill="1" applyBorder="1" applyAlignment="1">
      <alignment horizontal="center" vertical="center"/>
    </xf>
    <xf numFmtId="0" fontId="108" fillId="25" borderId="91" xfId="0" applyFont="1" applyFill="1" applyBorder="1" applyAlignment="1">
      <alignment horizontal="center" vertical="center"/>
    </xf>
    <xf numFmtId="0" fontId="108" fillId="25" borderId="133" xfId="0" applyFont="1" applyFill="1" applyBorder="1" applyAlignment="1">
      <alignment horizontal="center" vertical="center"/>
    </xf>
    <xf numFmtId="0" fontId="100" fillId="0" borderId="135" xfId="0" applyFont="1" applyBorder="1" applyAlignment="1">
      <alignment horizontal="center" vertical="center"/>
    </xf>
    <xf numFmtId="0" fontId="100" fillId="0" borderId="97" xfId="0" applyFont="1" applyBorder="1" applyAlignment="1">
      <alignment horizontal="center" vertical="center"/>
    </xf>
    <xf numFmtId="0" fontId="100" fillId="0" borderId="153" xfId="0" applyFont="1" applyBorder="1" applyAlignment="1">
      <alignment horizontal="center" vertical="center"/>
    </xf>
    <xf numFmtId="0" fontId="101" fillId="0" borderId="97" xfId="0" applyFont="1" applyBorder="1" applyAlignment="1">
      <alignment horizontal="center" vertical="center"/>
    </xf>
    <xf numFmtId="0" fontId="101" fillId="0" borderId="141" xfId="0" applyFont="1" applyBorder="1" applyAlignment="1">
      <alignment horizontal="center" vertical="center"/>
    </xf>
    <xf numFmtId="0" fontId="46" fillId="0" borderId="127" xfId="0" applyFont="1" applyBorder="1" applyAlignment="1">
      <alignment vertical="top" wrapText="1"/>
    </xf>
    <xf numFmtId="0" fontId="46" fillId="0" borderId="131" xfId="0" applyFont="1" applyBorder="1" applyAlignment="1">
      <alignment vertical="top" wrapText="1"/>
    </xf>
    <xf numFmtId="0" fontId="64" fillId="7" borderId="0" xfId="0" applyFont="1" applyFill="1" applyAlignment="1">
      <alignment horizontal="center" vertical="center"/>
    </xf>
    <xf numFmtId="1" fontId="61" fillId="0" borderId="91" xfId="3" applyNumberFormat="1" applyFont="1" applyBorder="1" applyAlignment="1">
      <alignment horizontal="left" vertical="center" indent="1"/>
    </xf>
    <xf numFmtId="1" fontId="61" fillId="0" borderId="92" xfId="3" applyNumberFormat="1" applyFont="1" applyBorder="1" applyAlignment="1">
      <alignment horizontal="left" vertical="center" indent="1"/>
    </xf>
    <xf numFmtId="0" fontId="66" fillId="0" borderId="94" xfId="0" applyFont="1" applyBorder="1" applyAlignment="1">
      <alignment horizontal="center" vertical="center"/>
    </xf>
    <xf numFmtId="0" fontId="66" fillId="0" borderId="95" xfId="0" applyFont="1" applyBorder="1" applyAlignment="1">
      <alignment horizontal="center" vertical="center"/>
    </xf>
    <xf numFmtId="0" fontId="61" fillId="0" borderId="97" xfId="0" applyFont="1" applyBorder="1" applyAlignment="1">
      <alignment indent="1"/>
    </xf>
    <xf numFmtId="0" fontId="61" fillId="0" borderId="98" xfId="0" applyFont="1" applyBorder="1" applyAlignment="1">
      <alignment indent="1"/>
    </xf>
    <xf numFmtId="9" fontId="67" fillId="0" borderId="99" xfId="3" applyFont="1" applyBorder="1" applyAlignment="1">
      <alignment horizontal="center" vertical="center"/>
    </xf>
    <xf numFmtId="9" fontId="67" fillId="0" borderId="106" xfId="3" applyFont="1" applyBorder="1" applyAlignment="1">
      <alignment horizontal="center" vertical="center"/>
    </xf>
    <xf numFmtId="0" fontId="61" fillId="0" borderId="100" xfId="0" applyFont="1" applyBorder="1" applyAlignment="1">
      <alignment horizontal="left" vertical="center" wrapText="1"/>
    </xf>
    <xf numFmtId="0" fontId="61" fillId="0" borderId="101" xfId="0" applyFont="1" applyBorder="1" applyAlignment="1">
      <alignment horizontal="left" vertical="center" wrapText="1"/>
    </xf>
    <xf numFmtId="0" fontId="61" fillId="0" borderId="107" xfId="0" applyFont="1" applyBorder="1" applyAlignment="1">
      <alignment horizontal="left" vertical="center" wrapText="1"/>
    </xf>
    <xf numFmtId="0" fontId="61" fillId="0" borderId="108" xfId="0" applyFont="1" applyBorder="1" applyAlignment="1">
      <alignment horizontal="left" vertical="center" wrapText="1"/>
    </xf>
    <xf numFmtId="15" fontId="61" fillId="0" borderId="97" xfId="0" applyNumberFormat="1" applyFont="1" applyBorder="1" applyAlignment="1">
      <alignment horizontal="left" indent="1"/>
    </xf>
    <xf numFmtId="0" fontId="61" fillId="0" borderId="97" xfId="0" applyFont="1" applyBorder="1" applyAlignment="1">
      <alignment horizontal="left" indent="1"/>
    </xf>
    <xf numFmtId="0" fontId="61" fillId="0" borderId="98" xfId="0" applyFont="1" applyBorder="1" applyAlignment="1">
      <alignment horizontal="left" indent="1"/>
    </xf>
    <xf numFmtId="0" fontId="61" fillId="0" borderId="104" xfId="0" applyFont="1" applyBorder="1" applyAlignment="1">
      <alignment indent="1"/>
    </xf>
    <xf numFmtId="0" fontId="61" fillId="0" borderId="105" xfId="0" applyFont="1" applyBorder="1" applyAlignment="1">
      <alignment indent="1"/>
    </xf>
    <xf numFmtId="0" fontId="68" fillId="0" borderId="89" xfId="0" applyFont="1" applyBorder="1" applyAlignment="1">
      <alignment horizontal="center" vertical="center"/>
    </xf>
    <xf numFmtId="0" fontId="68" fillId="0" borderId="90" xfId="0" applyFont="1" applyBorder="1" applyAlignment="1">
      <alignment horizontal="center" vertical="center"/>
    </xf>
    <xf numFmtId="0" fontId="68" fillId="0" borderId="120" xfId="0" applyFont="1" applyBorder="1" applyAlignment="1">
      <alignment horizontal="center" vertical="center"/>
    </xf>
    <xf numFmtId="0" fontId="68" fillId="0" borderId="128" xfId="0" applyFont="1" applyBorder="1" applyAlignment="1">
      <alignment horizontal="center"/>
    </xf>
    <xf numFmtId="0" fontId="68" fillId="0" borderId="129" xfId="0" applyFont="1" applyBorder="1" applyAlignment="1">
      <alignment horizontal="center"/>
    </xf>
    <xf numFmtId="0" fontId="68" fillId="0" borderId="130" xfId="0" applyFont="1" applyBorder="1" applyAlignment="1">
      <alignment horizontal="center"/>
    </xf>
    <xf numFmtId="0" fontId="73" fillId="0" borderId="0" xfId="0" applyFont="1" applyAlignment="1">
      <alignment horizontal="center" vertical="center"/>
    </xf>
    <xf numFmtId="0" fontId="46" fillId="0" borderId="112" xfId="0" applyFont="1" applyBorder="1" applyAlignment="1">
      <alignment wrapText="1"/>
    </xf>
    <xf numFmtId="0" fontId="46" fillId="0" borderId="100" xfId="0" applyFont="1" applyBorder="1" applyAlignment="1">
      <alignment wrapText="1"/>
    </xf>
    <xf numFmtId="0" fontId="71" fillId="0" borderId="0" xfId="0" applyFont="1" applyAlignment="1">
      <alignment horizontal="left" vertical="center" wrapText="1"/>
    </xf>
    <xf numFmtId="0" fontId="1" fillId="0" borderId="0" xfId="0" applyFont="1" applyAlignment="1">
      <alignment horizontal="left" vertical="center"/>
    </xf>
    <xf numFmtId="0" fontId="96" fillId="0" borderId="0" xfId="0" applyFont="1" applyAlignment="1">
      <alignment horizontal="left" vertical="center"/>
    </xf>
    <xf numFmtId="0" fontId="1" fillId="0" borderId="0" xfId="0" applyFont="1" applyAlignment="1">
      <alignment horizontal="center" vertical="center"/>
    </xf>
    <xf numFmtId="0" fontId="4" fillId="0" borderId="0" xfId="0" applyFont="1" applyAlignment="1">
      <alignment horizontal="left" vertical="top" wrapText="1"/>
    </xf>
    <xf numFmtId="0" fontId="0" fillId="2" borderId="0" xfId="0" applyFill="1" applyAlignment="1">
      <alignment horizontal="left" vertical="center" wrapText="1"/>
    </xf>
    <xf numFmtId="0" fontId="50" fillId="2" borderId="0" xfId="0" applyFont="1" applyFill="1" applyAlignment="1">
      <alignment horizontal="center"/>
    </xf>
    <xf numFmtId="0" fontId="49" fillId="0" borderId="0" xfId="0" applyFont="1" applyAlignment="1">
      <alignment horizontal="left" vertical="center" wrapText="1"/>
    </xf>
    <xf numFmtId="0" fontId="49" fillId="0" borderId="0" xfId="0" applyFont="1" applyAlignment="1">
      <alignment horizontal="center" vertical="center" wrapText="1"/>
    </xf>
    <xf numFmtId="0" fontId="0" fillId="0" borderId="0" xfId="0" applyAlignment="1">
      <alignment horizontal="left" vertical="center" wrapText="1"/>
    </xf>
    <xf numFmtId="9" fontId="0" fillId="0" borderId="0" xfId="0" applyNumberFormat="1" applyAlignment="1">
      <alignment horizontal="center" vertical="center"/>
    </xf>
    <xf numFmtId="0" fontId="1" fillId="0" borderId="60" xfId="0" applyFont="1" applyBorder="1" applyAlignment="1">
      <alignment horizontal="left" vertical="center" wrapText="1"/>
    </xf>
    <xf numFmtId="0" fontId="1" fillId="0" borderId="62" xfId="0" applyFont="1" applyBorder="1" applyAlignment="1">
      <alignment horizontal="left" vertical="center" wrapText="1"/>
    </xf>
    <xf numFmtId="0" fontId="1" fillId="0" borderId="61" xfId="0" applyFont="1" applyBorder="1" applyAlignment="1">
      <alignment horizontal="left" vertical="center" wrapText="1"/>
    </xf>
    <xf numFmtId="0" fontId="90" fillId="15" borderId="56" xfId="0" applyFont="1" applyFill="1" applyBorder="1" applyAlignment="1">
      <alignment horizontal="left" vertical="top" wrapText="1"/>
    </xf>
    <xf numFmtId="0" fontId="0" fillId="15" borderId="62" xfId="0" applyFill="1" applyBorder="1" applyAlignment="1">
      <alignment horizontal="left" vertical="top" wrapText="1"/>
    </xf>
    <xf numFmtId="0" fontId="0" fillId="15" borderId="61" xfId="0" applyFill="1" applyBorder="1" applyAlignment="1">
      <alignment horizontal="left" vertical="top" wrapText="1"/>
    </xf>
    <xf numFmtId="0" fontId="0" fillId="0" borderId="67" xfId="0" applyBorder="1" applyAlignment="1">
      <alignment horizontal="left" vertical="top" wrapText="1"/>
    </xf>
    <xf numFmtId="0" fontId="50" fillId="0" borderId="0" xfId="0" applyFont="1" applyAlignment="1">
      <alignment horizontal="left" vertical="top" wrapText="1"/>
    </xf>
    <xf numFmtId="0" fontId="0" fillId="0" borderId="0" xfId="0" applyAlignment="1">
      <alignment horizontal="left" vertical="center"/>
    </xf>
    <xf numFmtId="0" fontId="0" fillId="0" borderId="0" xfId="0" applyAlignment="1">
      <alignment horizontal="center"/>
    </xf>
    <xf numFmtId="0" fontId="1" fillId="0" borderId="0" xfId="0" applyFont="1" applyAlignment="1">
      <alignment horizontal="left" vertical="center" wrapText="1"/>
    </xf>
    <xf numFmtId="0" fontId="49" fillId="0" borderId="0" xfId="0" applyFont="1" applyAlignment="1">
      <alignment horizontal="left" vertical="top" wrapText="1"/>
    </xf>
    <xf numFmtId="0" fontId="0" fillId="16" borderId="36" xfId="0" applyFill="1" applyBorder="1" applyAlignment="1">
      <alignment horizontal="left" vertical="center" indent="1"/>
    </xf>
    <xf numFmtId="0" fontId="1" fillId="16" borderId="36" xfId="0" applyFont="1" applyFill="1" applyBorder="1" applyAlignment="1">
      <alignment horizontal="left" vertical="center" indent="1"/>
    </xf>
    <xf numFmtId="15" fontId="0" fillId="16" borderId="36" xfId="0" applyNumberFormat="1" applyFill="1" applyBorder="1" applyAlignment="1">
      <alignment horizontal="left" vertical="center" indent="1"/>
    </xf>
    <xf numFmtId="0" fontId="18" fillId="7" borderId="66" xfId="0" applyFont="1" applyFill="1" applyBorder="1" applyAlignment="1">
      <alignment horizontal="center" indent="2"/>
    </xf>
    <xf numFmtId="0" fontId="18" fillId="7" borderId="56" xfId="0" applyFont="1" applyFill="1" applyBorder="1" applyAlignment="1">
      <alignment horizontal="center" indent="2"/>
    </xf>
    <xf numFmtId="0" fontId="18" fillId="7" borderId="67" xfId="0" applyFont="1" applyFill="1" applyBorder="1" applyAlignment="1">
      <alignment horizontal="center" indent="2"/>
    </xf>
    <xf numFmtId="0" fontId="18" fillId="7" borderId="58" xfId="0" applyFont="1" applyFill="1" applyBorder="1" applyAlignment="1">
      <alignment horizontal="center" indent="2"/>
    </xf>
    <xf numFmtId="0" fontId="1" fillId="0" borderId="15"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24" xfId="0" applyFont="1"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16" xfId="0" applyBorder="1" applyAlignment="1">
      <alignment horizontal="center" vertical="center" wrapText="1"/>
    </xf>
    <xf numFmtId="0" fontId="0" fillId="0" borderId="19" xfId="0" applyBorder="1" applyAlignment="1">
      <alignment horizontal="center" vertical="center" wrapText="1"/>
    </xf>
    <xf numFmtId="0" fontId="0" fillId="0" borderId="0" xfId="0"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14" xfId="0" applyBorder="1" applyAlignment="1">
      <alignment horizontal="center" vertical="center" wrapText="1"/>
    </xf>
    <xf numFmtId="0" fontId="0" fillId="0" borderId="24" xfId="0" applyBorder="1" applyAlignment="1">
      <alignment horizontal="center" vertical="center" wrapText="1"/>
    </xf>
    <xf numFmtId="0" fontId="4" fillId="0" borderId="15"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0" xfId="0" applyFont="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2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0" xfId="0" applyFont="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4" xfId="0" applyFont="1" applyBorder="1" applyAlignment="1">
      <alignment horizontal="center" vertical="center" wrapText="1"/>
    </xf>
    <xf numFmtId="0" fontId="13" fillId="0" borderId="13" xfId="0" applyFont="1" applyBorder="1" applyAlignment="1">
      <alignment horizontal="left" vertical="top" wrapText="1"/>
    </xf>
    <xf numFmtId="0" fontId="12" fillId="0" borderId="13" xfId="0" applyFont="1" applyBorder="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3" fillId="0" borderId="6" xfId="0" applyFont="1" applyBorder="1" applyAlignment="1">
      <alignment horizontal="left" vertical="top" wrapText="1"/>
    </xf>
    <xf numFmtId="0" fontId="6" fillId="0" borderId="0" xfId="0" applyFont="1" applyAlignment="1">
      <alignment horizontal="center" vertical="center"/>
    </xf>
    <xf numFmtId="0" fontId="7" fillId="0" borderId="0" xfId="0" applyFont="1" applyAlignment="1">
      <alignment horizontal="left" vertical="top" wrapText="1"/>
    </xf>
    <xf numFmtId="0" fontId="15" fillId="0" borderId="0" xfId="0" applyFont="1" applyAlignment="1">
      <alignment horizontal="left" vertical="top" wrapText="1"/>
    </xf>
    <xf numFmtId="0" fontId="15" fillId="0" borderId="6" xfId="0" applyFont="1" applyBorder="1" applyAlignment="1">
      <alignment horizontal="left" vertical="top" wrapText="1"/>
    </xf>
    <xf numFmtId="0" fontId="0" fillId="8" borderId="1" xfId="0" applyFill="1" applyBorder="1" applyAlignment="1">
      <alignment horizontal="center" vertical="center" wrapText="1"/>
    </xf>
    <xf numFmtId="0" fontId="12" fillId="0" borderId="0" xfId="0" applyFont="1" applyAlignment="1">
      <alignment wrapText="1"/>
    </xf>
    <xf numFmtId="0" fontId="4" fillId="0" borderId="0" xfId="0" applyFont="1" applyAlignment="1">
      <alignment wrapText="1"/>
    </xf>
    <xf numFmtId="0" fontId="16" fillId="0" borderId="0" xfId="0" applyFont="1" applyAlignment="1">
      <alignment horizontal="left" wrapText="1"/>
    </xf>
    <xf numFmtId="0" fontId="0" fillId="0" borderId="0" xfId="0" applyAlignment="1">
      <alignment horizontal="left" wrapText="1"/>
    </xf>
    <xf numFmtId="0" fontId="0" fillId="0" borderId="4" xfId="0" applyBorder="1" applyAlignment="1">
      <alignment horizontal="center" vertical="top" wrapText="1"/>
    </xf>
    <xf numFmtId="0" fontId="0" fillId="0" borderId="0" xfId="0" applyAlignment="1">
      <alignment horizontal="center" vertical="top" wrapText="1"/>
    </xf>
    <xf numFmtId="0" fontId="11" fillId="0" borderId="0" xfId="0" applyFont="1" applyAlignment="1">
      <alignment horizontal="left" vertical="top" wrapText="1"/>
    </xf>
    <xf numFmtId="0" fontId="0" fillId="0" borderId="25" xfId="0" applyBorder="1" applyAlignment="1">
      <alignment horizontal="center" vertical="center" wrapText="1"/>
    </xf>
    <xf numFmtId="0" fontId="0" fillId="0" borderId="34"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1"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5" xfId="0" applyBorder="1" applyAlignment="1">
      <alignment horizontal="center" vertical="center" wrapText="1"/>
    </xf>
    <xf numFmtId="0" fontId="0" fillId="0" borderId="30" xfId="0" applyBorder="1" applyAlignment="1">
      <alignment horizontal="center" vertical="center" wrapText="1"/>
    </xf>
    <xf numFmtId="0" fontId="1" fillId="0" borderId="25"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0" xfId="0" applyFont="1" applyBorder="1" applyAlignment="1">
      <alignment horizontal="center" vertical="center" wrapText="1"/>
    </xf>
    <xf numFmtId="0" fontId="6" fillId="0" borderId="14" xfId="0" applyFont="1" applyBorder="1" applyAlignment="1">
      <alignment horizontal="center" vertical="center"/>
    </xf>
    <xf numFmtId="0" fontId="18" fillId="7" borderId="11" xfId="0" applyFont="1" applyFill="1" applyBorder="1" applyAlignment="1">
      <alignment horizontal="center" vertical="center" indent="2"/>
    </xf>
    <xf numFmtId="0" fontId="18" fillId="7" borderId="12" xfId="0" applyFont="1" applyFill="1" applyBorder="1" applyAlignment="1">
      <alignment horizontal="center" vertical="center" indent="2"/>
    </xf>
    <xf numFmtId="0" fontId="0" fillId="0" borderId="21" xfId="0" applyBorder="1" applyAlignment="1">
      <alignment horizontal="left" indent="2"/>
    </xf>
    <xf numFmtId="0" fontId="0" fillId="0" borderId="12" xfId="0" applyBorder="1" applyAlignment="1">
      <alignment horizontal="left" indent="2"/>
    </xf>
    <xf numFmtId="0" fontId="0" fillId="0" borderId="11" xfId="0" applyBorder="1" applyAlignment="1">
      <alignment horizontal="left" vertical="center"/>
    </xf>
    <xf numFmtId="0" fontId="0" fillId="0" borderId="12" xfId="0" applyBorder="1" applyAlignment="1">
      <alignment horizontal="left" vertical="center"/>
    </xf>
    <xf numFmtId="0" fontId="1" fillId="0" borderId="11" xfId="0" applyFont="1" applyBorder="1" applyAlignment="1">
      <alignment horizontal="center" vertical="center" indent="2"/>
    </xf>
    <xf numFmtId="0" fontId="1" fillId="0" borderId="12" xfId="0" applyFont="1" applyBorder="1" applyAlignment="1">
      <alignment horizontal="center" vertical="center" indent="2"/>
    </xf>
    <xf numFmtId="0" fontId="19" fillId="0" borderId="11" xfId="0" applyFont="1" applyBorder="1" applyAlignment="1">
      <alignment horizontal="left"/>
    </xf>
    <xf numFmtId="0" fontId="19" fillId="0" borderId="12" xfId="0" applyFont="1" applyBorder="1" applyAlignment="1">
      <alignment horizontal="left"/>
    </xf>
    <xf numFmtId="0" fontId="21" fillId="0" borderId="18" xfId="0" applyFont="1" applyBorder="1" applyAlignment="1">
      <alignment horizontal="center" vertical="center"/>
    </xf>
    <xf numFmtId="0" fontId="21" fillId="0" borderId="20" xfId="0" applyFont="1" applyBorder="1" applyAlignment="1">
      <alignment horizontal="center"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0" fillId="0" borderId="21"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0" fontId="18" fillId="7" borderId="11" xfId="0" applyFont="1" applyFill="1" applyBorder="1" applyAlignment="1">
      <alignment horizontal="right" vertical="center"/>
    </xf>
    <xf numFmtId="0" fontId="18" fillId="7" borderId="21" xfId="0" applyFont="1" applyFill="1" applyBorder="1" applyAlignment="1">
      <alignment horizontal="right" vertical="center"/>
    </xf>
    <xf numFmtId="0" fontId="18" fillId="7" borderId="15" xfId="0" applyFont="1" applyFill="1" applyBorder="1" applyAlignment="1">
      <alignment horizontal="right" vertical="center"/>
    </xf>
    <xf numFmtId="0" fontId="18" fillId="7" borderId="13" xfId="0" applyFont="1" applyFill="1" applyBorder="1" applyAlignment="1">
      <alignment horizontal="right" vertical="center"/>
    </xf>
    <xf numFmtId="0" fontId="0" fillId="0" borderId="11" xfId="0" applyBorder="1" applyAlignment="1">
      <alignment horizontal="left" vertical="center" indent="2"/>
    </xf>
    <xf numFmtId="0" fontId="0" fillId="0" borderId="12" xfId="0" applyBorder="1" applyAlignment="1">
      <alignment horizontal="left" vertical="center" indent="2"/>
    </xf>
    <xf numFmtId="0" fontId="0" fillId="2" borderId="11" xfId="0" applyFill="1" applyBorder="1" applyAlignment="1">
      <alignment horizontal="center"/>
    </xf>
    <xf numFmtId="0" fontId="0" fillId="2" borderId="21" xfId="0" applyFill="1" applyBorder="1" applyAlignment="1">
      <alignment horizontal="center"/>
    </xf>
    <xf numFmtId="0" fontId="0" fillId="2" borderId="12" xfId="0" applyFill="1" applyBorder="1" applyAlignment="1">
      <alignment horizontal="center"/>
    </xf>
    <xf numFmtId="0" fontId="0" fillId="0" borderId="18" xfId="0"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horizontal="center" vertical="center"/>
    </xf>
    <xf numFmtId="0" fontId="21" fillId="0" borderId="16" xfId="0" applyFont="1" applyBorder="1" applyAlignment="1">
      <alignment horizontal="center" vertical="center"/>
    </xf>
    <xf numFmtId="0" fontId="21" fillId="0" borderId="22" xfId="0" applyFont="1" applyBorder="1" applyAlignment="1">
      <alignment horizontal="center" vertical="center"/>
    </xf>
    <xf numFmtId="0" fontId="21" fillId="0" borderId="24" xfId="0" applyFont="1" applyBorder="1" applyAlignment="1">
      <alignment horizontal="center" vertical="center"/>
    </xf>
    <xf numFmtId="0" fontId="0" fillId="0" borderId="21" xfId="0" applyBorder="1" applyAlignment="1">
      <alignment vertical="center"/>
    </xf>
    <xf numFmtId="0" fontId="0" fillId="0" borderId="12" xfId="0" applyBorder="1" applyAlignment="1">
      <alignment vertical="center"/>
    </xf>
    <xf numFmtId="0" fontId="1" fillId="2" borderId="18" xfId="0" applyFont="1" applyFill="1" applyBorder="1" applyAlignment="1">
      <alignment horizontal="center" vertical="center"/>
    </xf>
    <xf numFmtId="0" fontId="0" fillId="0" borderId="10" xfId="0" applyBorder="1" applyAlignment="1">
      <alignment horizontal="center"/>
    </xf>
    <xf numFmtId="0" fontId="0" fillId="0" borderId="10" xfId="0" applyBorder="1" applyAlignment="1">
      <alignment horizontal="left" indent="2"/>
    </xf>
    <xf numFmtId="0" fontId="1" fillId="2" borderId="11" xfId="0" applyFont="1" applyFill="1" applyBorder="1" applyAlignment="1">
      <alignment horizontal="left"/>
    </xf>
    <xf numFmtId="0" fontId="1" fillId="2" borderId="21" xfId="0" applyFont="1" applyFill="1" applyBorder="1" applyAlignment="1">
      <alignment horizontal="left"/>
    </xf>
    <xf numFmtId="0" fontId="20" fillId="0" borderId="0" xfId="0" applyFont="1" applyAlignment="1">
      <alignment horizontal="center"/>
    </xf>
    <xf numFmtId="0" fontId="1" fillId="5" borderId="10" xfId="0" applyFont="1" applyFill="1" applyBorder="1" applyAlignment="1">
      <alignment horizontal="right" vertical="center"/>
    </xf>
    <xf numFmtId="0" fontId="1" fillId="5" borderId="17" xfId="0" applyFont="1" applyFill="1" applyBorder="1" applyAlignment="1">
      <alignment horizontal="right" vertical="center"/>
    </xf>
    <xf numFmtId="0" fontId="1" fillId="0" borderId="17" xfId="0" applyFont="1" applyBorder="1" applyAlignment="1">
      <alignment horizontal="left" vertical="center" indent="2"/>
    </xf>
    <xf numFmtId="0" fontId="1" fillId="0" borderId="10" xfId="0" applyFont="1" applyBorder="1" applyAlignment="1">
      <alignment horizontal="left" vertical="center" indent="2"/>
    </xf>
    <xf numFmtId="0" fontId="1" fillId="3" borderId="17" xfId="0" applyFont="1" applyFill="1" applyBorder="1" applyAlignment="1">
      <alignment horizontal="center" vertical="center"/>
    </xf>
    <xf numFmtId="0" fontId="0" fillId="0" borderId="17" xfId="0" applyBorder="1" applyAlignment="1">
      <alignment horizontal="center" vertical="center"/>
    </xf>
    <xf numFmtId="0" fontId="0" fillId="0" borderId="11" xfId="0" applyBorder="1" applyAlignment="1">
      <alignment horizontal="center" vertical="center"/>
    </xf>
    <xf numFmtId="0" fontId="0" fillId="0" borderId="21" xfId="0" applyBorder="1" applyAlignment="1">
      <alignment horizontal="center" vertical="center"/>
    </xf>
    <xf numFmtId="0" fontId="0" fillId="0" borderId="12" xfId="0" applyBorder="1" applyAlignment="1">
      <alignment horizontal="center" vertical="center"/>
    </xf>
    <xf numFmtId="0" fontId="2" fillId="0" borderId="10" xfId="0" applyFont="1" applyBorder="1" applyAlignment="1">
      <alignment horizontal="center" vertical="center"/>
    </xf>
    <xf numFmtId="9" fontId="5" fillId="4" borderId="12" xfId="0" applyNumberFormat="1" applyFont="1" applyFill="1"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0" fontId="0" fillId="18" borderId="90" xfId="0" applyFill="1" applyBorder="1" applyAlignment="1">
      <alignment horizontal="center" vertical="center" wrapText="1"/>
    </xf>
    <xf numFmtId="0" fontId="0" fillId="18" borderId="119" xfId="0" applyFill="1" applyBorder="1" applyAlignment="1">
      <alignment horizontal="center" vertical="center" wrapText="1"/>
    </xf>
    <xf numFmtId="0" fontId="6" fillId="0" borderId="0" xfId="0" applyFont="1" applyAlignment="1">
      <alignment horizontal="center" vertical="center" wrapText="1"/>
    </xf>
    <xf numFmtId="0" fontId="78" fillId="0" borderId="8" xfId="0" applyFont="1" applyBorder="1" applyAlignment="1">
      <alignment horizontal="left"/>
    </xf>
    <xf numFmtId="0" fontId="18" fillId="7" borderId="96" xfId="0" applyFont="1" applyFill="1" applyBorder="1" applyAlignment="1">
      <alignment horizontal="center" vertical="center" wrapText="1"/>
    </xf>
    <xf numFmtId="0" fontId="18" fillId="7" borderId="0" xfId="0" applyFont="1" applyFill="1" applyAlignment="1">
      <alignment horizontal="center" vertical="center" wrapText="1"/>
    </xf>
    <xf numFmtId="0" fontId="79" fillId="2" borderId="96" xfId="0" applyFont="1" applyFill="1" applyBorder="1" applyAlignment="1">
      <alignment horizontal="center" vertical="center" wrapText="1"/>
    </xf>
    <xf numFmtId="0" fontId="79" fillId="2" borderId="0" xfId="0" applyFont="1" applyFill="1" applyAlignment="1">
      <alignment horizontal="center" vertical="center" wrapText="1"/>
    </xf>
    <xf numFmtId="166" fontId="0" fillId="0" borderId="77" xfId="0" applyNumberFormat="1" applyBorder="1" applyAlignment="1">
      <alignment horizontal="center" vertical="center" wrapText="1"/>
    </xf>
    <xf numFmtId="166" fontId="0" fillId="0" borderId="72" xfId="0" applyNumberFormat="1" applyBorder="1" applyAlignment="1">
      <alignment horizontal="center" vertical="center" wrapText="1"/>
    </xf>
    <xf numFmtId="166" fontId="0" fillId="0" borderId="73" xfId="0" applyNumberFormat="1" applyBorder="1" applyAlignment="1">
      <alignment horizontal="center" vertical="center" wrapText="1"/>
    </xf>
    <xf numFmtId="0" fontId="0" fillId="16" borderId="80" xfId="0" applyFill="1" applyBorder="1" applyAlignment="1">
      <alignment horizontal="left" vertical="center"/>
    </xf>
    <xf numFmtId="0" fontId="0" fillId="16" borderId="81" xfId="0" applyFill="1" applyBorder="1" applyAlignment="1">
      <alignment horizontal="left" vertical="center"/>
    </xf>
    <xf numFmtId="0" fontId="0" fillId="16" borderId="82" xfId="0" applyFill="1" applyBorder="1" applyAlignment="1">
      <alignment horizontal="left" vertical="center"/>
    </xf>
    <xf numFmtId="0" fontId="0" fillId="16" borderId="80" xfId="0" applyFill="1" applyBorder="1" applyAlignment="1">
      <alignment horizontal="center" vertical="center"/>
    </xf>
    <xf numFmtId="0" fontId="0" fillId="16" borderId="81" xfId="0" applyFill="1" applyBorder="1" applyAlignment="1">
      <alignment horizontal="center" vertical="center"/>
    </xf>
    <xf numFmtId="0" fontId="0" fillId="16" borderId="82" xfId="0" applyFill="1" applyBorder="1" applyAlignment="1">
      <alignment horizontal="center" vertical="center"/>
    </xf>
    <xf numFmtId="166" fontId="0" fillId="0" borderId="79" xfId="0" applyNumberFormat="1" applyBorder="1" applyAlignment="1">
      <alignment horizontal="center" vertical="center" wrapText="1"/>
    </xf>
    <xf numFmtId="166" fontId="0" fillId="0" borderId="0" xfId="0" applyNumberFormat="1" applyAlignment="1">
      <alignment horizontal="center" vertical="center" wrapText="1"/>
    </xf>
    <xf numFmtId="166" fontId="0" fillId="0" borderId="74" xfId="0" applyNumberFormat="1" applyBorder="1" applyAlignment="1">
      <alignment horizontal="center" vertical="center" wrapText="1"/>
    </xf>
    <xf numFmtId="0" fontId="0" fillId="0" borderId="80" xfId="0" applyBorder="1" applyAlignment="1">
      <alignment horizontal="left" vertical="center"/>
    </xf>
    <xf numFmtId="0" fontId="0" fillId="0" borderId="81" xfId="0" applyBorder="1" applyAlignment="1">
      <alignment horizontal="left" vertical="center"/>
    </xf>
    <xf numFmtId="0" fontId="0" fillId="0" borderId="82" xfId="0" applyBorder="1" applyAlignment="1">
      <alignment horizontal="left" vertical="center"/>
    </xf>
    <xf numFmtId="0" fontId="0" fillId="0" borderId="84" xfId="0" applyBorder="1" applyAlignment="1">
      <alignment horizontal="center" vertical="center" wrapText="1"/>
    </xf>
    <xf numFmtId="0" fontId="0" fillId="0" borderId="80" xfId="0" applyBorder="1" applyAlignment="1">
      <alignment horizontal="center" vertical="center"/>
    </xf>
    <xf numFmtId="0" fontId="0" fillId="0" borderId="81" xfId="0" applyBorder="1" applyAlignment="1">
      <alignment horizontal="center" vertical="center"/>
    </xf>
    <xf numFmtId="0" fontId="0" fillId="0" borderId="82" xfId="0" applyBorder="1" applyAlignment="1">
      <alignment horizontal="center" vertical="center"/>
    </xf>
    <xf numFmtId="0" fontId="0" fillId="5" borderId="80" xfId="0" applyFill="1" applyBorder="1" applyAlignment="1">
      <alignment horizontal="left" vertical="center"/>
    </xf>
    <xf numFmtId="0" fontId="0" fillId="5" borderId="81" xfId="0" applyFill="1" applyBorder="1" applyAlignment="1">
      <alignment horizontal="left" vertical="center"/>
    </xf>
    <xf numFmtId="0" fontId="0" fillId="5" borderId="82" xfId="0" applyFill="1" applyBorder="1" applyAlignment="1">
      <alignment horizontal="left" vertical="center"/>
    </xf>
    <xf numFmtId="166" fontId="0" fillId="0" borderId="78" xfId="0" applyNumberFormat="1" applyBorder="1" applyAlignment="1">
      <alignment horizontal="center" vertical="center" wrapText="1"/>
    </xf>
    <xf numFmtId="166" fontId="0" fillId="0" borderId="75" xfId="0" applyNumberFormat="1" applyBorder="1" applyAlignment="1">
      <alignment horizontal="center" vertical="center" wrapText="1"/>
    </xf>
    <xf numFmtId="166" fontId="0" fillId="0" borderId="76" xfId="0" applyNumberFormat="1" applyBorder="1" applyAlignment="1">
      <alignment horizontal="center" vertical="center" wrapText="1"/>
    </xf>
    <xf numFmtId="0" fontId="17" fillId="0" borderId="80" xfId="0" applyFont="1" applyBorder="1" applyAlignment="1">
      <alignment horizontal="center" vertical="center" wrapText="1"/>
    </xf>
    <xf numFmtId="0" fontId="17" fillId="0" borderId="81" xfId="0" applyFont="1" applyBorder="1" applyAlignment="1">
      <alignment horizontal="center" vertical="center" wrapText="1"/>
    </xf>
    <xf numFmtId="0" fontId="17" fillId="0" borderId="82" xfId="0" applyFont="1" applyBorder="1" applyAlignment="1">
      <alignment horizontal="center" vertical="center" wrapText="1"/>
    </xf>
    <xf numFmtId="166" fontId="0" fillId="0" borderId="77" xfId="0" applyNumberFormat="1" applyBorder="1" applyAlignment="1">
      <alignment horizontal="center" vertical="center"/>
    </xf>
    <xf numFmtId="0" fontId="0" fillId="0" borderId="72" xfId="0" applyBorder="1" applyAlignment="1">
      <alignment horizontal="center" vertical="center"/>
    </xf>
    <xf numFmtId="0" fontId="0" fillId="0" borderId="79" xfId="0" applyBorder="1" applyAlignment="1">
      <alignment horizontal="center" vertical="center"/>
    </xf>
    <xf numFmtId="0" fontId="0" fillId="0" borderId="0" xfId="0" applyAlignment="1">
      <alignment horizontal="center" vertical="center"/>
    </xf>
    <xf numFmtId="0" fontId="55" fillId="0" borderId="80" xfId="2" applyBorder="1" applyAlignment="1">
      <alignment horizontal="center" vertical="center" wrapText="1"/>
    </xf>
    <xf numFmtId="0" fontId="55" fillId="0" borderId="81" xfId="2" applyBorder="1" applyAlignment="1">
      <alignment horizontal="center" vertical="center" wrapText="1"/>
    </xf>
    <xf numFmtId="0" fontId="55" fillId="0" borderId="82" xfId="2" applyBorder="1" applyAlignment="1">
      <alignment horizontal="center" vertical="center" wrapText="1"/>
    </xf>
    <xf numFmtId="0" fontId="3" fillId="0" borderId="84" xfId="0" applyFont="1" applyBorder="1" applyAlignment="1">
      <alignment horizontal="center" vertical="center" wrapText="1"/>
    </xf>
    <xf numFmtId="0" fontId="3" fillId="0" borderId="85" xfId="0" applyFont="1"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0" fillId="0" borderId="77" xfId="0" applyBorder="1" applyAlignment="1">
      <alignment horizontal="center" vertical="center" wrapText="1"/>
    </xf>
    <xf numFmtId="0" fontId="0" fillId="0" borderId="78" xfId="0" applyBorder="1" applyAlignment="1">
      <alignment horizontal="center" vertical="center" wrapText="1"/>
    </xf>
    <xf numFmtId="166" fontId="0" fillId="0" borderId="72" xfId="0" applyNumberFormat="1" applyBorder="1" applyAlignment="1">
      <alignment horizontal="center" vertical="center"/>
    </xf>
    <xf numFmtId="166" fontId="0" fillId="0" borderId="73" xfId="0" applyNumberFormat="1" applyBorder="1" applyAlignment="1">
      <alignment horizontal="center" vertical="center"/>
    </xf>
    <xf numFmtId="166" fontId="0" fillId="0" borderId="79" xfId="0" applyNumberFormat="1" applyBorder="1" applyAlignment="1">
      <alignment horizontal="center" vertical="center"/>
    </xf>
    <xf numFmtId="166" fontId="0" fillId="0" borderId="0" xfId="0" applyNumberFormat="1" applyAlignment="1">
      <alignment horizontal="center" vertical="center"/>
    </xf>
    <xf numFmtId="166" fontId="0" fillId="0" borderId="74" xfId="0" applyNumberFormat="1" applyBorder="1" applyAlignment="1">
      <alignment horizontal="center" vertical="center"/>
    </xf>
    <xf numFmtId="166" fontId="0" fillId="0" borderId="80" xfId="0" applyNumberFormat="1" applyBorder="1" applyAlignment="1">
      <alignment horizontal="center" vertical="center" wrapText="1"/>
    </xf>
    <xf numFmtId="166" fontId="0" fillId="0" borderId="81" xfId="0" applyNumberFormat="1" applyBorder="1" applyAlignment="1">
      <alignment horizontal="center" vertical="center" wrapText="1"/>
    </xf>
    <xf numFmtId="166" fontId="0" fillId="0" borderId="82" xfId="0" applyNumberFormat="1" applyBorder="1" applyAlignment="1">
      <alignment horizontal="center"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3" fillId="0" borderId="83" xfId="0" applyFont="1" applyBorder="1" applyAlignment="1">
      <alignment horizontal="center" vertical="center" wrapText="1"/>
    </xf>
    <xf numFmtId="0" fontId="1" fillId="11" borderId="80" xfId="0" applyFont="1" applyFill="1" applyBorder="1" applyAlignment="1">
      <alignment horizontal="left" vertical="center"/>
    </xf>
    <xf numFmtId="0" fontId="1" fillId="11" borderId="81" xfId="0" applyFont="1" applyFill="1" applyBorder="1" applyAlignment="1">
      <alignment horizontal="left" vertical="center"/>
    </xf>
    <xf numFmtId="0" fontId="0" fillId="0" borderId="85" xfId="0" applyBorder="1" applyAlignment="1">
      <alignment horizontal="center" vertical="center"/>
    </xf>
    <xf numFmtId="0" fontId="0" fillId="0" borderId="80" xfId="0" applyBorder="1" applyAlignment="1">
      <alignment horizontal="left" vertical="center" wrapText="1"/>
    </xf>
    <xf numFmtId="0" fontId="0" fillId="0" borderId="81" xfId="0" applyBorder="1" applyAlignment="1">
      <alignment horizontal="left" vertical="center" wrapText="1"/>
    </xf>
    <xf numFmtId="0" fontId="0" fillId="0" borderId="82" xfId="0" applyBorder="1" applyAlignment="1">
      <alignment horizontal="left" vertical="center" wrapText="1"/>
    </xf>
    <xf numFmtId="0" fontId="1" fillId="0" borderId="71" xfId="0" applyFont="1" applyBorder="1" applyAlignment="1">
      <alignment horizontal="center"/>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6" xfId="0" applyBorder="1" applyAlignment="1">
      <alignment horizontal="center" vertical="center"/>
    </xf>
    <xf numFmtId="166" fontId="57" fillId="0" borderId="77" xfId="0" applyNumberFormat="1" applyFont="1" applyBorder="1" applyAlignment="1">
      <alignment horizontal="center" vertical="center" wrapText="1"/>
    </xf>
    <xf numFmtId="166" fontId="57" fillId="0" borderId="79" xfId="0" applyNumberFormat="1" applyFont="1" applyBorder="1" applyAlignment="1">
      <alignment horizontal="center" vertical="center" wrapText="1"/>
    </xf>
    <xf numFmtId="0" fontId="57" fillId="0" borderId="80" xfId="0" applyFont="1" applyBorder="1" applyAlignment="1">
      <alignment horizontal="left" vertical="center"/>
    </xf>
    <xf numFmtId="0" fontId="57" fillId="0" borderId="81" xfId="0" applyFont="1" applyBorder="1" applyAlignment="1">
      <alignment horizontal="left" vertical="center"/>
    </xf>
    <xf numFmtId="0" fontId="57" fillId="0" borderId="82" xfId="0" applyFont="1" applyBorder="1" applyAlignment="1">
      <alignment horizontal="left" vertical="center"/>
    </xf>
    <xf numFmtId="0" fontId="93" fillId="19" borderId="80" xfId="0" applyFont="1" applyFill="1" applyBorder="1" applyAlignment="1">
      <alignment horizontal="center" vertical="center" wrapText="1"/>
    </xf>
    <xf numFmtId="0" fontId="65" fillId="19" borderId="81" xfId="0" applyFont="1" applyFill="1" applyBorder="1" applyAlignment="1">
      <alignment horizontal="center" vertical="center" wrapText="1"/>
    </xf>
    <xf numFmtId="0" fontId="65" fillId="19" borderId="82" xfId="0" applyFont="1" applyFill="1" applyBorder="1" applyAlignment="1">
      <alignment horizontal="center" vertical="center" wrapText="1"/>
    </xf>
    <xf numFmtId="0" fontId="18" fillId="19" borderId="80" xfId="0" applyFont="1" applyFill="1" applyBorder="1" applyAlignment="1">
      <alignment horizontal="center" vertical="center"/>
    </xf>
    <xf numFmtId="0" fontId="18" fillId="19" borderId="81" xfId="0" applyFont="1" applyFill="1" applyBorder="1" applyAlignment="1">
      <alignment horizontal="center" vertical="center"/>
    </xf>
    <xf numFmtId="0" fontId="18" fillId="19" borderId="82" xfId="0" applyFont="1" applyFill="1" applyBorder="1" applyAlignment="1">
      <alignment horizontal="center" vertical="center"/>
    </xf>
    <xf numFmtId="166" fontId="15" fillId="0" borderId="77" xfId="0" applyNumberFormat="1" applyFont="1" applyBorder="1" applyAlignment="1">
      <alignment horizontal="center" vertical="center" wrapText="1"/>
    </xf>
    <xf numFmtId="0" fontId="0" fillId="19" borderId="71" xfId="0" applyFill="1" applyBorder="1" applyAlignment="1">
      <alignment horizontal="center"/>
    </xf>
    <xf numFmtId="0" fontId="0" fillId="19" borderId="77" xfId="0" applyFill="1" applyBorder="1" applyAlignment="1">
      <alignment horizontal="center"/>
    </xf>
    <xf numFmtId="0" fontId="0" fillId="19" borderId="72" xfId="0" applyFill="1" applyBorder="1" applyAlignment="1">
      <alignment horizontal="center"/>
    </xf>
    <xf numFmtId="0" fontId="91" fillId="13" borderId="11" xfId="0" applyFont="1" applyFill="1" applyBorder="1" applyAlignment="1">
      <alignment horizontal="center" vertical="center" wrapText="1"/>
    </xf>
    <xf numFmtId="0" fontId="91" fillId="13" borderId="21" xfId="0" applyFont="1" applyFill="1" applyBorder="1" applyAlignment="1">
      <alignment horizontal="center" vertical="center" wrapText="1"/>
    </xf>
    <xf numFmtId="0" fontId="91" fillId="13" borderId="12" xfId="0" applyFont="1" applyFill="1" applyBorder="1" applyAlignment="1">
      <alignment horizontal="center" vertical="center" wrapText="1"/>
    </xf>
    <xf numFmtId="0" fontId="47" fillId="11" borderId="0" xfId="0" applyFont="1" applyFill="1" applyAlignment="1">
      <alignment horizontal="center" textRotation="90"/>
    </xf>
    <xf numFmtId="0" fontId="47" fillId="11" borderId="58" xfId="0" applyFont="1" applyFill="1" applyBorder="1" applyAlignment="1">
      <alignment horizontal="center" textRotation="90"/>
    </xf>
    <xf numFmtId="0" fontId="0" fillId="0" borderId="60" xfId="0" applyBorder="1" applyAlignment="1">
      <alignment horizontal="center" vertical="center"/>
    </xf>
    <xf numFmtId="0" fontId="0" fillId="0" borderId="62" xfId="0" applyBorder="1" applyAlignment="1">
      <alignment horizontal="center" vertical="center"/>
    </xf>
    <xf numFmtId="0" fontId="0" fillId="0" borderId="61" xfId="0" applyBorder="1" applyAlignment="1">
      <alignment horizontal="center" vertical="center"/>
    </xf>
    <xf numFmtId="0" fontId="47" fillId="14" borderId="0" xfId="0" applyFont="1" applyFill="1" applyAlignment="1">
      <alignment horizontal="center" textRotation="90"/>
    </xf>
    <xf numFmtId="0" fontId="47" fillId="14" borderId="58" xfId="0" applyFont="1" applyFill="1" applyBorder="1" applyAlignment="1">
      <alignment horizontal="center" textRotation="90"/>
    </xf>
    <xf numFmtId="0" fontId="1" fillId="13" borderId="60" xfId="0" applyFont="1" applyFill="1" applyBorder="1" applyAlignment="1">
      <alignment horizontal="center" vertical="center"/>
    </xf>
    <xf numFmtId="0" fontId="1" fillId="13" borderId="62" xfId="0" applyFont="1" applyFill="1" applyBorder="1" applyAlignment="1">
      <alignment horizontal="center" vertical="center"/>
    </xf>
    <xf numFmtId="0" fontId="1" fillId="13" borderId="61" xfId="0" applyFont="1" applyFill="1" applyBorder="1" applyAlignment="1">
      <alignment horizontal="center" vertical="center"/>
    </xf>
    <xf numFmtId="16" fontId="0" fillId="0" borderId="0" xfId="0" applyNumberFormat="1" applyAlignment="1">
      <alignment horizontal="center" vertical="center"/>
    </xf>
    <xf numFmtId="0" fontId="91" fillId="13" borderId="11" xfId="0" applyFont="1" applyFill="1" applyBorder="1" applyAlignment="1">
      <alignment horizontal="center" vertical="center"/>
    </xf>
    <xf numFmtId="0" fontId="91" fillId="13" borderId="21" xfId="0" applyFont="1" applyFill="1" applyBorder="1" applyAlignment="1">
      <alignment horizontal="center" vertical="center"/>
    </xf>
    <xf numFmtId="0" fontId="91" fillId="13" borderId="12" xfId="0" applyFont="1" applyFill="1" applyBorder="1" applyAlignment="1">
      <alignment horizontal="center" vertical="center"/>
    </xf>
    <xf numFmtId="0" fontId="65" fillId="19" borderId="80" xfId="0" applyFont="1" applyFill="1" applyBorder="1" applyAlignment="1">
      <alignment horizontal="center" vertical="center" wrapText="1"/>
    </xf>
    <xf numFmtId="0" fontId="23" fillId="20" borderId="0" xfId="0" applyFont="1" applyFill="1" applyAlignment="1">
      <alignment horizontal="center" vertical="center"/>
    </xf>
    <xf numFmtId="0" fontId="23" fillId="21" borderId="0" xfId="0" applyFont="1" applyFill="1" applyAlignment="1">
      <alignment horizontal="center" vertical="center"/>
    </xf>
    <xf numFmtId="0" fontId="23" fillId="22" borderId="0" xfId="0" applyFont="1" applyFill="1" applyAlignment="1">
      <alignment horizontal="center" vertical="center"/>
    </xf>
    <xf numFmtId="0" fontId="90" fillId="0" borderId="0" xfId="0" applyFont="1" applyAlignment="1"/>
    <xf numFmtId="0" fontId="126" fillId="0" borderId="0" xfId="0" applyFont="1" applyAlignment="1"/>
    <xf numFmtId="0" fontId="90" fillId="0" borderId="8" xfId="0" applyFont="1" applyBorder="1" applyAlignment="1"/>
    <xf numFmtId="0" fontId="90" fillId="0" borderId="201" xfId="0" applyFont="1" applyBorder="1" applyAlignment="1"/>
    <xf numFmtId="0" fontId="90" fillId="0" borderId="97" xfId="0" applyFont="1" applyBorder="1" applyAlignment="1"/>
    <xf numFmtId="0" fontId="90" fillId="0" borderId="4" xfId="0" applyFont="1" applyBorder="1" applyAlignment="1"/>
    <xf numFmtId="0" fontId="130" fillId="0" borderId="151" xfId="0" applyFont="1" applyBorder="1" applyAlignment="1"/>
    <xf numFmtId="0" fontId="130" fillId="0" borderId="134" xfId="0" applyFont="1" applyBorder="1" applyAlignment="1"/>
    <xf numFmtId="0" fontId="90" fillId="0" borderId="205" xfId="0" applyFont="1" applyBorder="1" applyAlignment="1"/>
    <xf numFmtId="0" fontId="90" fillId="0" borderId="206" xfId="0" applyFont="1" applyBorder="1" applyAlignment="1"/>
    <xf numFmtId="0" fontId="90" fillId="0" borderId="207" xfId="0" applyFont="1" applyBorder="1" applyAlignment="1"/>
    <xf numFmtId="0" fontId="90" fillId="0" borderId="153" xfId="0" applyFont="1" applyBorder="1" applyAlignment="1"/>
    <xf numFmtId="0" fontId="90" fillId="0" borderId="208" xfId="0" applyFont="1" applyBorder="1" applyAlignment="1"/>
    <xf numFmtId="0" fontId="90" fillId="0" borderId="209" xfId="0" applyFont="1" applyBorder="1" applyAlignment="1"/>
    <xf numFmtId="0" fontId="90" fillId="0" borderId="210" xfId="0" applyFont="1" applyBorder="1" applyAlignment="1"/>
    <xf numFmtId="0" fontId="131" fillId="0" borderId="127" xfId="0" applyFont="1" applyBorder="1" applyAlignment="1"/>
    <xf numFmtId="0" fontId="131" fillId="0" borderId="119" xfId="0" applyFont="1" applyBorder="1" applyAlignment="1"/>
    <xf numFmtId="0" fontId="27" fillId="0" borderId="112" xfId="0" applyFont="1" applyBorder="1" applyAlignment="1"/>
    <xf numFmtId="0" fontId="27" fillId="0" borderId="97" xfId="0" applyFont="1" applyBorder="1" applyAlignment="1"/>
    <xf numFmtId="0" fontId="27" fillId="0" borderId="0" xfId="0" applyFont="1" applyAlignment="1"/>
    <xf numFmtId="0" fontId="90" fillId="0" borderId="112" xfId="0" applyFont="1" applyBorder="1" applyAlignment="1"/>
    <xf numFmtId="0" fontId="90" fillId="0" borderId="119" xfId="0" applyFont="1" applyBorder="1" applyAlignment="1"/>
    <xf numFmtId="0" fontId="127" fillId="32" borderId="112" xfId="0" applyFont="1" applyFill="1" applyBorder="1" applyAlignment="1"/>
    <xf numFmtId="0" fontId="127" fillId="32" borderId="97" xfId="0" applyFont="1" applyFill="1" applyBorder="1" applyAlignment="1"/>
    <xf numFmtId="0" fontId="127" fillId="0" borderId="0" xfId="0" applyFont="1" applyAlignment="1"/>
    <xf numFmtId="0" fontId="45" fillId="0" borderId="0" xfId="0" applyFont="1" applyAlignment="1"/>
    <xf numFmtId="0" fontId="127" fillId="0" borderId="134" xfId="0" applyFont="1" applyBorder="1" applyAlignment="1"/>
    <xf numFmtId="0" fontId="135" fillId="0" borderId="0" xfId="0" applyFont="1" applyAlignment="1"/>
    <xf numFmtId="0" fontId="127" fillId="0" borderId="119" xfId="0" applyFont="1" applyBorder="1" applyAlignment="1"/>
    <xf numFmtId="0" fontId="90" fillId="0" borderId="134" xfId="0" applyFont="1" applyBorder="1" applyAlignment="1"/>
    <xf numFmtId="0" fontId="99" fillId="25" borderId="0" xfId="0" applyFont="1" applyFill="1" applyAlignment="1"/>
    <xf numFmtId="0" fontId="101" fillId="0" borderId="178" xfId="0" applyFont="1" applyBorder="1" applyAlignment="1"/>
    <xf numFmtId="0" fontId="100" fillId="0" borderId="134" xfId="0" applyFont="1" applyBorder="1" applyAlignment="1"/>
    <xf numFmtId="0" fontId="100" fillId="0" borderId="137" xfId="0" applyFont="1" applyBorder="1" applyAlignment="1"/>
    <xf numFmtId="0" fontId="101" fillId="0" borderId="138" xfId="0" applyFont="1" applyBorder="1" applyAlignment="1"/>
    <xf numFmtId="0" fontId="100" fillId="0" borderId="0" xfId="0" applyFont="1" applyAlignment="1"/>
    <xf numFmtId="0" fontId="100" fillId="0" borderId="138" xfId="0" applyFont="1" applyBorder="1" applyAlignment="1"/>
    <xf numFmtId="0" fontId="101" fillId="0" borderId="140" xfId="0" applyFont="1" applyBorder="1" applyAlignment="1"/>
    <xf numFmtId="0" fontId="100" fillId="0" borderId="139" xfId="0" applyFont="1" applyBorder="1" applyAlignment="1"/>
    <xf numFmtId="0" fontId="100" fillId="0" borderId="140" xfId="0" applyFont="1" applyBorder="1" applyAlignment="1"/>
    <xf numFmtId="0" fontId="107" fillId="0" borderId="0" xfId="0" applyFont="1" applyAlignment="1"/>
    <xf numFmtId="0" fontId="105" fillId="0" borderId="119" xfId="0" applyFont="1" applyBorder="1" applyAlignment="1"/>
    <xf numFmtId="0" fontId="105" fillId="0" borderId="97" xfId="0" applyFont="1" applyBorder="1" applyAlignment="1"/>
    <xf numFmtId="0" fontId="108" fillId="25" borderId="89" xfId="0" applyFont="1" applyFill="1" applyBorder="1" applyAlignment="1"/>
    <xf numFmtId="0" fontId="108" fillId="25" borderId="90" xfId="0" applyFont="1" applyFill="1" applyBorder="1" applyAlignment="1"/>
    <xf numFmtId="0" fontId="108" fillId="25" borderId="148" xfId="0" applyFont="1" applyFill="1" applyBorder="1" applyAlignment="1"/>
    <xf numFmtId="0" fontId="115" fillId="27" borderId="142" xfId="0" applyFont="1" applyFill="1" applyBorder="1" applyAlignment="1"/>
    <xf numFmtId="0" fontId="115" fillId="27" borderId="143" xfId="0" applyFont="1" applyFill="1" applyBorder="1" applyAlignment="1"/>
    <xf numFmtId="0" fontId="115" fillId="27" borderId="144" xfId="0" applyFont="1" applyFill="1" applyBorder="1" applyAlignment="1"/>
    <xf numFmtId="0" fontId="115" fillId="26" borderId="90" xfId="0" applyFont="1" applyFill="1" applyBorder="1" applyAlignment="1"/>
    <xf numFmtId="0" fontId="115" fillId="26" borderId="148" xfId="0" applyFont="1" applyFill="1" applyBorder="1" applyAlignment="1"/>
    <xf numFmtId="0" fontId="115" fillId="26" borderId="139" xfId="0" applyFont="1" applyFill="1" applyBorder="1" applyAlignment="1"/>
    <xf numFmtId="0" fontId="115" fillId="26" borderId="140" xfId="0" applyFont="1" applyFill="1" applyBorder="1" applyAlignment="1"/>
    <xf numFmtId="0" fontId="115" fillId="26" borderId="143" xfId="0" applyFont="1" applyFill="1" applyBorder="1" applyAlignment="1"/>
    <xf numFmtId="0" fontId="115" fillId="26" borderId="144" xfId="0" applyFont="1" applyFill="1" applyBorder="1" applyAlignment="1"/>
    <xf numFmtId="0" fontId="122" fillId="0" borderId="90" xfId="0" applyFont="1" applyBorder="1" applyAlignment="1"/>
    <xf numFmtId="0" fontId="19" fillId="0" borderId="11" xfId="0" applyFont="1" applyBorder="1" applyAlignment="1"/>
    <xf numFmtId="0" fontId="19" fillId="0" borderId="12" xfId="0" applyFont="1" applyBorder="1" applyAlignment="1"/>
    <xf numFmtId="0" fontId="0" fillId="0" borderId="11" xfId="0" applyBorder="1" applyAlignment="1"/>
    <xf numFmtId="0" fontId="0" fillId="0" borderId="12" xfId="0" applyBorder="1" applyAlignment="1"/>
    <xf numFmtId="0" fontId="0" fillId="0" borderId="15" xfId="0" applyBorder="1" applyAlignment="1"/>
    <xf numFmtId="0" fontId="0" fillId="0" borderId="16" xfId="0" applyBorder="1" applyAlignment="1"/>
    <xf numFmtId="0" fontId="0" fillId="0" borderId="21" xfId="0" applyBorder="1" applyAlignment="1"/>
    <xf numFmtId="0" fontId="19" fillId="0" borderId="21" xfId="0" applyFont="1" applyBorder="1" applyAlignment="1"/>
  </cellXfs>
  <cellStyles count="4">
    <cellStyle name="Hyperlink" xfId="2" builtinId="8"/>
    <cellStyle name="Normal" xfId="0" builtinId="0"/>
    <cellStyle name="Percent" xfId="1" builtinId="5"/>
    <cellStyle name="Percent 2" xfId="3" xr:uid="{E8677BD0-2CED-429F-BDFB-A24F59647AE8}"/>
  </cellStyles>
  <dxfs count="14">
    <dxf>
      <font>
        <color rgb="FF006100"/>
      </font>
      <fill>
        <patternFill>
          <bgColor rgb="FFC6EFCE"/>
        </patternFill>
      </fill>
    </dxf>
    <dxf>
      <fill>
        <patternFill>
          <bgColor rgb="FFFFC7CE"/>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ill>
        <patternFill>
          <bgColor rgb="FFFFC7CE"/>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ill>
        <patternFill>
          <bgColor rgb="FFFFC7CE"/>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006100"/>
      </font>
      <fill>
        <patternFill patternType="solid">
          <bgColor theme="9" tint="0.59999389629810485"/>
        </patternFill>
      </fill>
    </dxf>
    <dxf>
      <font>
        <color rgb="FF9C0006"/>
      </font>
      <fill>
        <patternFill patternType="solid">
          <bgColor rgb="FFE3BABA"/>
        </patternFill>
      </fill>
    </dxf>
  </dxfs>
  <tableStyles count="0" defaultTableStyle="TableStyleMedium2" defaultPivotStyle="PivotStyleMedium9"/>
  <colors>
    <mruColors>
      <color rgb="FFFAF7AA"/>
      <color rgb="FFFAF9D2"/>
      <color rgb="FFE3BABA"/>
      <color rgb="FFF5C9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257175</xdr:colOff>
      <xdr:row>2</xdr:row>
      <xdr:rowOff>38100</xdr:rowOff>
    </xdr:from>
    <xdr:to>
      <xdr:col>2</xdr:col>
      <xdr:colOff>699807</xdr:colOff>
      <xdr:row>6</xdr:row>
      <xdr:rowOff>182655</xdr:rowOff>
    </xdr:to>
    <xdr:pic>
      <xdr:nvPicPr>
        <xdr:cNvPr id="2" name="Picture 1">
          <a:extLst>
            <a:ext uri="{FF2B5EF4-FFF2-40B4-BE49-F238E27FC236}">
              <a16:creationId xmlns:a16="http://schemas.microsoft.com/office/drawing/2014/main" id="{8EC2BAE5-5B18-4581-BE4D-45F5F5FDD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775" y="628650"/>
          <a:ext cx="1052232" cy="1058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400050</xdr:colOff>
      <xdr:row>2</xdr:row>
      <xdr:rowOff>104775</xdr:rowOff>
    </xdr:from>
    <xdr:to>
      <xdr:col>1</xdr:col>
      <xdr:colOff>1304925</xdr:colOff>
      <xdr:row>4</xdr:row>
      <xdr:rowOff>19050</xdr:rowOff>
    </xdr:to>
    <xdr:pic>
      <xdr:nvPicPr>
        <xdr:cNvPr id="2" name="Picture 1">
          <a:extLst>
            <a:ext uri="{FF2B5EF4-FFF2-40B4-BE49-F238E27FC236}">
              <a16:creationId xmlns:a16="http://schemas.microsoft.com/office/drawing/2014/main" id="{5BC11B7A-A18D-4920-B802-C2DAEDC08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485775"/>
          <a:ext cx="90487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228600</xdr:colOff>
      <xdr:row>1</xdr:row>
      <xdr:rowOff>57150</xdr:rowOff>
    </xdr:from>
    <xdr:to>
      <xdr:col>6</xdr:col>
      <xdr:colOff>329565</xdr:colOff>
      <xdr:row>2</xdr:row>
      <xdr:rowOff>374015</xdr:rowOff>
    </xdr:to>
    <xdr:pic>
      <xdr:nvPicPr>
        <xdr:cNvPr id="3" name="Picture 2">
          <a:extLst>
            <a:ext uri="{FF2B5EF4-FFF2-40B4-BE49-F238E27FC236}">
              <a16:creationId xmlns:a16="http://schemas.microsoft.com/office/drawing/2014/main" id="{70191783-A4A3-4D35-ACBA-C3CC5F87B55A}"/>
            </a:ext>
            <a:ext uri="{147F2762-F138-4A5C-976F-8EAC2B608ADB}">
              <a16:predDERef xmlns:a16="http://schemas.microsoft.com/office/drawing/2014/main" pred="{5BC11B7A-A18D-4920-B802-C2DAEDC084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247650"/>
          <a:ext cx="2548890" cy="507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523875</xdr:colOff>
      <xdr:row>2</xdr:row>
      <xdr:rowOff>38100</xdr:rowOff>
    </xdr:from>
    <xdr:to>
      <xdr:col>2</xdr:col>
      <xdr:colOff>1000125</xdr:colOff>
      <xdr:row>8</xdr:row>
      <xdr:rowOff>114300</xdr:rowOff>
    </xdr:to>
    <xdr:pic>
      <xdr:nvPicPr>
        <xdr:cNvPr id="2" name="Picture 1">
          <a:extLst>
            <a:ext uri="{FF2B5EF4-FFF2-40B4-BE49-F238E27FC236}">
              <a16:creationId xmlns:a16="http://schemas.microsoft.com/office/drawing/2014/main" id="{903B75FC-4F0D-2EB9-5741-1009A8468011}"/>
            </a:ext>
          </a:extLst>
        </xdr:cNvPr>
        <xdr:cNvPicPr>
          <a:picLocks noChangeAspect="1"/>
        </xdr:cNvPicPr>
      </xdr:nvPicPr>
      <xdr:blipFill>
        <a:blip xmlns:r="http://schemas.openxmlformats.org/officeDocument/2006/relationships" r:embed="rId1"/>
        <a:stretch>
          <a:fillRect/>
        </a:stretch>
      </xdr:blipFill>
      <xdr:spPr>
        <a:xfrm>
          <a:off x="619125" y="514350"/>
          <a:ext cx="1295400" cy="1257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495300</xdr:colOff>
      <xdr:row>18</xdr:row>
      <xdr:rowOff>247650</xdr:rowOff>
    </xdr:from>
    <xdr:to>
      <xdr:col>20</xdr:col>
      <xdr:colOff>190500</xdr:colOff>
      <xdr:row>24</xdr:row>
      <xdr:rowOff>123825</xdr:rowOff>
    </xdr:to>
    <xdr:sp macro="" textlink="">
      <xdr:nvSpPr>
        <xdr:cNvPr id="2" name="Rectangle 1">
          <a:extLst>
            <a:ext uri="{FF2B5EF4-FFF2-40B4-BE49-F238E27FC236}">
              <a16:creationId xmlns:a16="http://schemas.microsoft.com/office/drawing/2014/main" id="{57D18C98-0A73-0909-DA8F-9E76039D5591}"/>
            </a:ext>
          </a:extLst>
        </xdr:cNvPr>
        <xdr:cNvSpPr/>
      </xdr:nvSpPr>
      <xdr:spPr>
        <a:xfrm>
          <a:off x="7486650" y="4324350"/>
          <a:ext cx="4572000" cy="1295400"/>
        </a:xfrm>
        <a:prstGeom prst="rect">
          <a:avLst/>
        </a:prstGeom>
        <a:no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28575</xdr:colOff>
      <xdr:row>16</xdr:row>
      <xdr:rowOff>28575</xdr:rowOff>
    </xdr:from>
    <xdr:to>
      <xdr:col>10</xdr:col>
      <xdr:colOff>0</xdr:colOff>
      <xdr:row>29</xdr:row>
      <xdr:rowOff>114300</xdr:rowOff>
    </xdr:to>
    <xdr:pic>
      <xdr:nvPicPr>
        <xdr:cNvPr id="3" name="Picture 2">
          <a:extLst>
            <a:ext uri="{FF2B5EF4-FFF2-40B4-BE49-F238E27FC236}">
              <a16:creationId xmlns:a16="http://schemas.microsoft.com/office/drawing/2014/main" id="{ADED71F4-FF19-6FD1-CFB5-7359A7052F15}"/>
            </a:ext>
          </a:extLst>
        </xdr:cNvPr>
        <xdr:cNvPicPr>
          <a:picLocks noChangeAspect="1"/>
        </xdr:cNvPicPr>
      </xdr:nvPicPr>
      <xdr:blipFill>
        <a:blip xmlns:r="http://schemas.openxmlformats.org/officeDocument/2006/relationships" r:embed="rId1"/>
        <a:stretch>
          <a:fillRect/>
        </a:stretch>
      </xdr:blipFill>
      <xdr:spPr>
        <a:xfrm>
          <a:off x="923925" y="3486150"/>
          <a:ext cx="4848225" cy="2562225"/>
        </a:xfrm>
        <a:prstGeom prst="rect">
          <a:avLst/>
        </a:prstGeom>
      </xdr:spPr>
    </xdr:pic>
    <xdr:clientData/>
  </xdr:twoCellAnchor>
  <xdr:twoCellAnchor editAs="oneCell">
    <xdr:from>
      <xdr:col>2</xdr:col>
      <xdr:colOff>0</xdr:colOff>
      <xdr:row>35</xdr:row>
      <xdr:rowOff>0</xdr:rowOff>
    </xdr:from>
    <xdr:to>
      <xdr:col>9</xdr:col>
      <xdr:colOff>600075</xdr:colOff>
      <xdr:row>48</xdr:row>
      <xdr:rowOff>19050</xdr:rowOff>
    </xdr:to>
    <xdr:pic>
      <xdr:nvPicPr>
        <xdr:cNvPr id="5" name="Picture 4">
          <a:extLst>
            <a:ext uri="{FF2B5EF4-FFF2-40B4-BE49-F238E27FC236}">
              <a16:creationId xmlns:a16="http://schemas.microsoft.com/office/drawing/2014/main" id="{7BE5145F-2AD7-4B28-BBF8-20988B8B77AC}"/>
            </a:ext>
            <a:ext uri="{147F2762-F138-4A5C-976F-8EAC2B608ADB}">
              <a16:predDERef xmlns:a16="http://schemas.microsoft.com/office/drawing/2014/main" pred="{ADED71F4-FF19-6FD1-CFB5-7359A7052F15}"/>
            </a:ext>
          </a:extLst>
        </xdr:cNvPr>
        <xdr:cNvPicPr>
          <a:picLocks noChangeAspect="1"/>
        </xdr:cNvPicPr>
      </xdr:nvPicPr>
      <xdr:blipFill>
        <a:blip xmlns:r="http://schemas.openxmlformats.org/officeDocument/2006/relationships" r:embed="rId2"/>
        <a:stretch>
          <a:fillRect/>
        </a:stretch>
      </xdr:blipFill>
      <xdr:spPr>
        <a:xfrm>
          <a:off x="895350" y="7077075"/>
          <a:ext cx="4867275" cy="2495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sconsultinggroup-my.sharepoint.com/personal/frfernandez_sscgi_com/Documents/SSCGI/Boot%20Camp%20Training/Evaluation/batch-03/DGIBAD/(Batch03)%20-%20%20DGIBAD%20SSCGI%20Training%20Roadmap%20v2.xlsx" TargetMode="External"/><Relationship Id="rId1" Type="http://schemas.openxmlformats.org/officeDocument/2006/relationships/externalLinkPath" Target="/personal/frfernandez_sscgi_com/Documents/SSCGI/Boot%20Camp%20Training/Evaluation/batch-03/DGIBAD/(Batch03)%20-%20%20DGIBAD%20SSCGI%20Training%20Roadmap%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tingScore"/>
      <sheetName val="ScoreCard"/>
      <sheetName val="PerformanceEvaluation"/>
      <sheetName val="Technical"/>
    </sheetNames>
    <sheetDataSet>
      <sheetData sheetId="0"/>
      <sheetData sheetId="1"/>
      <sheetData sheetId="2"/>
      <sheetData sheetId="3"/>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ssconsultinggroup-my.sharepoint.com/:i:/r/personal/frfernandez_sscgi_com/Documents/SSCGI/Boot%20Camp%20Training/Evaluation/batch-05/ASHAPIZ/ACTVITY-SCREENSHOTS/angular/s1-q1.png?csf=1&amp;web=1&amp;e=Uk8AL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EA82-E926-4344-8957-0C4100790E7B}">
  <dimension ref="A1:A3"/>
  <sheetViews>
    <sheetView workbookViewId="0">
      <selection activeCell="B4" sqref="B4"/>
    </sheetView>
  </sheetViews>
  <sheetFormatPr defaultRowHeight="13.9"/>
  <cols>
    <col min="1" max="1" width="16.140625" customWidth="1"/>
  </cols>
  <sheetData>
    <row r="1" spans="1:1">
      <c r="A1" t="s">
        <v>0</v>
      </c>
    </row>
    <row r="2" spans="1:1">
      <c r="A2" t="s">
        <v>1</v>
      </c>
    </row>
    <row r="3" spans="1:1">
      <c r="A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FD9D-2DC9-4A3F-858C-A41F9177DF8F}">
  <dimension ref="A1:Z16"/>
  <sheetViews>
    <sheetView workbookViewId="0">
      <selection activeCell="C25" sqref="C25"/>
    </sheetView>
  </sheetViews>
  <sheetFormatPr defaultRowHeight="13.9"/>
  <cols>
    <col min="1" max="1" width="10.28515625" customWidth="1"/>
    <col min="6" max="6" width="42" customWidth="1"/>
  </cols>
  <sheetData>
    <row r="1" spans="1:26">
      <c r="A1" s="546" t="s">
        <v>3</v>
      </c>
      <c r="B1" s="546"/>
      <c r="C1" s="546"/>
      <c r="D1" s="546"/>
      <c r="E1" s="546"/>
      <c r="F1" s="546"/>
      <c r="G1" s="546"/>
    </row>
    <row r="2" spans="1:26">
      <c r="A2" s="547"/>
      <c r="B2" s="548"/>
      <c r="C2" s="122"/>
      <c r="D2" s="122"/>
      <c r="E2" s="122"/>
      <c r="F2" s="122"/>
      <c r="G2" s="122"/>
    </row>
    <row r="3" spans="1:26">
      <c r="A3" s="549" t="s">
        <v>4</v>
      </c>
      <c r="B3" s="549"/>
      <c r="C3" s="96">
        <v>0</v>
      </c>
      <c r="D3" s="96">
        <v>69</v>
      </c>
      <c r="E3" s="123">
        <v>0</v>
      </c>
      <c r="F3" s="38"/>
      <c r="G3" s="550" t="s">
        <v>5</v>
      </c>
    </row>
    <row r="4" spans="1:26">
      <c r="A4" s="544" t="s">
        <v>6</v>
      </c>
      <c r="B4" s="544"/>
      <c r="C4" s="16">
        <v>70</v>
      </c>
      <c r="D4" s="16">
        <v>74</v>
      </c>
      <c r="E4" s="124">
        <v>1</v>
      </c>
      <c r="F4" s="107" t="s">
        <v>7</v>
      </c>
      <c r="G4" s="551"/>
    </row>
    <row r="5" spans="1:26">
      <c r="A5" s="544" t="s">
        <v>8</v>
      </c>
      <c r="B5" s="544"/>
      <c r="C5" s="16">
        <v>75</v>
      </c>
      <c r="D5" s="16">
        <v>84</v>
      </c>
      <c r="E5" s="124">
        <v>2</v>
      </c>
      <c r="F5" s="94" t="s">
        <v>9</v>
      </c>
      <c r="G5" s="545" t="s">
        <v>10</v>
      </c>
    </row>
    <row r="6" spans="1:26">
      <c r="A6" s="544" t="s">
        <v>11</v>
      </c>
      <c r="B6" s="544"/>
      <c r="C6" s="16">
        <v>85</v>
      </c>
      <c r="D6" s="16">
        <v>88</v>
      </c>
      <c r="E6" s="124">
        <v>3</v>
      </c>
      <c r="F6" s="94" t="s">
        <v>12</v>
      </c>
      <c r="G6" s="545"/>
    </row>
    <row r="7" spans="1:26">
      <c r="A7" s="544" t="s">
        <v>13</v>
      </c>
      <c r="B7" s="544"/>
      <c r="C7" s="16">
        <v>89</v>
      </c>
      <c r="D7" s="16">
        <v>94</v>
      </c>
      <c r="E7" s="124">
        <v>4</v>
      </c>
      <c r="F7" s="94" t="s">
        <v>14</v>
      </c>
      <c r="G7" s="545"/>
    </row>
    <row r="8" spans="1:26">
      <c r="A8" s="544" t="s">
        <v>15</v>
      </c>
      <c r="B8" s="544"/>
      <c r="C8" s="16">
        <v>100</v>
      </c>
      <c r="D8" s="16">
        <v>95</v>
      </c>
      <c r="E8" s="124">
        <v>5</v>
      </c>
      <c r="F8" s="94" t="s">
        <v>16</v>
      </c>
      <c r="G8" s="545"/>
    </row>
    <row r="12" spans="1:26" ht="14.45">
      <c r="A12" s="543" t="s">
        <v>17</v>
      </c>
      <c r="B12" s="543"/>
      <c r="C12" s="543"/>
      <c r="D12" s="543"/>
      <c r="E12" s="543"/>
      <c r="F12" s="543"/>
      <c r="G12" s="543"/>
      <c r="H12" s="121"/>
      <c r="I12" s="121"/>
      <c r="J12" s="121"/>
      <c r="K12" s="121"/>
      <c r="L12" s="121"/>
      <c r="M12" s="121"/>
      <c r="N12" s="115"/>
      <c r="O12" s="115"/>
      <c r="P12" s="115"/>
      <c r="Q12" s="115"/>
      <c r="R12" s="115"/>
      <c r="S12" s="115"/>
      <c r="T12" s="115"/>
      <c r="U12" s="115"/>
      <c r="V12" s="115"/>
      <c r="W12" s="115"/>
      <c r="X12" s="115"/>
      <c r="Y12" s="115"/>
      <c r="Z12" s="115"/>
    </row>
    <row r="13" spans="1:26" ht="14.45">
      <c r="A13" s="115" t="s">
        <v>18</v>
      </c>
      <c r="B13" s="116">
        <v>0</v>
      </c>
      <c r="C13" s="116">
        <v>49</v>
      </c>
      <c r="D13" s="116" t="s">
        <v>19</v>
      </c>
      <c r="E13" s="115" t="s">
        <v>20</v>
      </c>
      <c r="F13" s="115"/>
      <c r="G13" s="115"/>
      <c r="H13" s="115"/>
      <c r="I13" s="115"/>
      <c r="J13" s="115"/>
      <c r="K13" s="115"/>
      <c r="L13" s="115"/>
      <c r="M13" s="115"/>
      <c r="N13" s="115"/>
      <c r="O13" s="115"/>
      <c r="P13" s="115"/>
      <c r="Q13" s="115"/>
      <c r="R13" s="115"/>
      <c r="S13" s="115"/>
      <c r="T13" s="115"/>
      <c r="U13" s="115"/>
      <c r="V13" s="115"/>
      <c r="W13" s="115"/>
      <c r="X13" s="115"/>
      <c r="Y13" s="115"/>
      <c r="Z13" s="115"/>
    </row>
    <row r="14" spans="1:26" ht="14.45">
      <c r="A14" s="115" t="s">
        <v>21</v>
      </c>
      <c r="B14" s="116">
        <v>50</v>
      </c>
      <c r="C14" s="116">
        <v>99</v>
      </c>
      <c r="D14" s="116" t="s">
        <v>22</v>
      </c>
      <c r="E14" s="115" t="s">
        <v>23</v>
      </c>
      <c r="F14" s="115"/>
      <c r="G14" s="115"/>
      <c r="H14" s="115"/>
      <c r="I14" s="115"/>
      <c r="J14" s="115"/>
      <c r="K14" s="115"/>
      <c r="L14" s="115"/>
      <c r="M14" s="115"/>
      <c r="N14" s="115"/>
      <c r="O14" s="115"/>
      <c r="P14" s="115"/>
      <c r="Q14" s="115"/>
      <c r="R14" s="115"/>
      <c r="S14" s="115"/>
      <c r="T14" s="115"/>
      <c r="U14" s="115"/>
      <c r="V14" s="115"/>
      <c r="W14" s="115"/>
      <c r="X14" s="115"/>
      <c r="Y14" s="115"/>
      <c r="Z14" s="115"/>
    </row>
    <row r="15" spans="1:26" ht="14.45">
      <c r="A15" s="115" t="s">
        <v>24</v>
      </c>
      <c r="B15" s="116">
        <v>100</v>
      </c>
      <c r="C15" s="116">
        <v>149</v>
      </c>
      <c r="D15" s="116" t="s">
        <v>25</v>
      </c>
      <c r="E15" s="115" t="s">
        <v>26</v>
      </c>
      <c r="F15" s="115"/>
      <c r="G15" s="115"/>
      <c r="H15" s="115"/>
      <c r="I15" s="115"/>
      <c r="J15" s="115"/>
      <c r="K15" s="115"/>
      <c r="L15" s="115"/>
      <c r="M15" s="115"/>
      <c r="N15" s="115"/>
      <c r="O15" s="115"/>
      <c r="P15" s="115"/>
      <c r="Q15" s="115"/>
      <c r="R15" s="115"/>
      <c r="S15" s="115"/>
      <c r="T15" s="115"/>
      <c r="U15" s="115"/>
      <c r="V15" s="115"/>
      <c r="W15" s="115"/>
      <c r="X15" s="115"/>
      <c r="Y15" s="115"/>
      <c r="Z15" s="115"/>
    </row>
    <row r="16" spans="1:26" ht="14.45">
      <c r="A16" s="115" t="s">
        <v>27</v>
      </c>
      <c r="B16" s="116">
        <v>150</v>
      </c>
      <c r="C16" s="116">
        <v>200</v>
      </c>
      <c r="D16" s="116" t="s">
        <v>28</v>
      </c>
      <c r="E16" s="115" t="s">
        <v>29</v>
      </c>
      <c r="F16" s="115"/>
      <c r="G16" s="115"/>
      <c r="H16" s="115"/>
      <c r="I16" s="115"/>
      <c r="J16" s="115"/>
      <c r="K16" s="115"/>
      <c r="L16" s="115"/>
      <c r="M16" s="115"/>
      <c r="N16" s="115"/>
      <c r="O16" s="115"/>
      <c r="P16" s="115"/>
      <c r="Q16" s="115"/>
      <c r="R16" s="115"/>
      <c r="S16" s="115"/>
      <c r="T16" s="115"/>
      <c r="U16" s="115"/>
      <c r="V16" s="115"/>
      <c r="W16" s="115"/>
      <c r="X16" s="115"/>
      <c r="Y16" s="115"/>
      <c r="Z16" s="115"/>
    </row>
  </sheetData>
  <mergeCells count="11">
    <mergeCell ref="A1:G1"/>
    <mergeCell ref="A2:B2"/>
    <mergeCell ref="A3:B3"/>
    <mergeCell ref="G3:G4"/>
    <mergeCell ref="A4:B4"/>
    <mergeCell ref="A12:G12"/>
    <mergeCell ref="A5:B5"/>
    <mergeCell ref="G5:G8"/>
    <mergeCell ref="A6:B6"/>
    <mergeCell ref="A7:B7"/>
    <mergeCell ref="A8: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9C45C-00B3-4C5D-99C0-CAA272F3C852}">
  <dimension ref="A1:L19"/>
  <sheetViews>
    <sheetView workbookViewId="0">
      <selection activeCell="A20" sqref="A20:XFD30"/>
    </sheetView>
  </sheetViews>
  <sheetFormatPr defaultRowHeight="13.9"/>
  <cols>
    <col min="1" max="1" width="3.42578125" customWidth="1"/>
    <col min="3" max="3" width="40.28515625" customWidth="1"/>
    <col min="4" max="4" width="12.7109375" bestFit="1" customWidth="1"/>
    <col min="5" max="5" width="12.5703125" bestFit="1" customWidth="1"/>
    <col min="6" max="6" width="12.5703125" customWidth="1"/>
    <col min="7" max="7" width="33.85546875" customWidth="1"/>
    <col min="8" max="8" width="23.140625" bestFit="1" customWidth="1"/>
    <col min="9" max="11" width="38" customWidth="1"/>
    <col min="12" max="12" width="40.7109375" customWidth="1"/>
  </cols>
  <sheetData>
    <row r="1" spans="1:12" ht="30">
      <c r="A1" s="587" t="s">
        <v>30</v>
      </c>
      <c r="B1" s="587"/>
      <c r="C1" s="587"/>
      <c r="D1" s="587"/>
      <c r="E1" s="587"/>
      <c r="F1" s="587"/>
      <c r="G1" s="587"/>
      <c r="H1" s="587"/>
      <c r="I1" s="587"/>
      <c r="J1" s="587"/>
      <c r="K1" s="587"/>
    </row>
    <row r="2" spans="1:12" ht="15" customHeight="1">
      <c r="A2" s="126"/>
      <c r="B2" s="147"/>
      <c r="C2" s="147"/>
      <c r="D2" s="604" t="e">
        <f>#REF!</f>
        <v>#REF!</v>
      </c>
      <c r="E2" s="604"/>
      <c r="F2" s="604"/>
      <c r="G2" s="602" t="s">
        <v>31</v>
      </c>
      <c r="H2" s="580" t="s">
        <v>32</v>
      </c>
      <c r="I2" s="580"/>
      <c r="J2" s="589" t="s">
        <v>33</v>
      </c>
      <c r="K2" s="580"/>
      <c r="L2" s="590"/>
    </row>
    <row r="3" spans="1:12" ht="18" customHeight="1">
      <c r="A3" s="126"/>
      <c r="B3" s="588" t="s">
        <v>34</v>
      </c>
      <c r="C3" s="588"/>
      <c r="D3" s="604"/>
      <c r="E3" s="604"/>
      <c r="F3" s="604"/>
      <c r="G3" s="602"/>
      <c r="H3" s="581"/>
      <c r="I3" s="581"/>
      <c r="J3" s="591"/>
      <c r="K3" s="581"/>
      <c r="L3" s="592"/>
    </row>
    <row r="4" spans="1:12" ht="18" customHeight="1">
      <c r="A4" s="126"/>
      <c r="B4" s="588" t="s">
        <v>35</v>
      </c>
      <c r="C4" s="588"/>
      <c r="D4" s="585" t="e">
        <f>#REF!</f>
        <v>#REF!</v>
      </c>
      <c r="E4" s="585"/>
      <c r="F4" s="585"/>
      <c r="G4" s="603" t="e">
        <f>#REF!</f>
        <v>#REF!</v>
      </c>
      <c r="H4" s="582" t="e">
        <f>#REF!</f>
        <v>#REF!</v>
      </c>
      <c r="I4" s="582"/>
      <c r="J4" s="593" t="s">
        <v>36</v>
      </c>
      <c r="K4" s="594"/>
      <c r="L4" s="595"/>
    </row>
    <row r="5" spans="1:12" ht="18" customHeight="1">
      <c r="A5" s="126"/>
      <c r="B5" s="588" t="s">
        <v>37</v>
      </c>
      <c r="C5" s="588"/>
      <c r="D5" s="585" t="e">
        <f>#REF!</f>
        <v>#REF!</v>
      </c>
      <c r="E5" s="585"/>
      <c r="F5" s="585"/>
      <c r="G5" s="603"/>
      <c r="H5" s="583"/>
      <c r="I5" s="583"/>
      <c r="J5" s="596"/>
      <c r="K5" s="597"/>
      <c r="L5" s="598"/>
    </row>
    <row r="6" spans="1:12" ht="18" customHeight="1">
      <c r="A6" s="126"/>
      <c r="B6" s="588" t="s">
        <v>38</v>
      </c>
      <c r="C6" s="588"/>
      <c r="D6" s="586" t="e">
        <f>#REF!</f>
        <v>#REF!</v>
      </c>
      <c r="E6" s="585"/>
      <c r="F6" s="585"/>
      <c r="G6" s="603"/>
      <c r="H6" s="583"/>
      <c r="I6" s="583"/>
      <c r="J6" s="596"/>
      <c r="K6" s="597"/>
      <c r="L6" s="598"/>
    </row>
    <row r="7" spans="1:12" ht="18" customHeight="1">
      <c r="A7" s="126"/>
      <c r="B7" s="588" t="s">
        <v>39</v>
      </c>
      <c r="C7" s="588"/>
      <c r="D7" s="586" t="e">
        <f>#REF!</f>
        <v>#REF!</v>
      </c>
      <c r="E7" s="586"/>
      <c r="F7" s="586"/>
      <c r="G7" s="603"/>
      <c r="H7" s="583"/>
      <c r="I7" s="583"/>
      <c r="J7" s="596"/>
      <c r="K7" s="597"/>
      <c r="L7" s="598"/>
    </row>
    <row r="8" spans="1:12" ht="18" customHeight="1">
      <c r="A8" s="126"/>
      <c r="B8" s="588" t="s">
        <v>40</v>
      </c>
      <c r="C8" s="588"/>
      <c r="D8" s="586" t="e">
        <f>#REF!</f>
        <v>#REF!</v>
      </c>
      <c r="E8" s="586"/>
      <c r="F8" s="586"/>
      <c r="G8" s="603"/>
      <c r="H8" s="584"/>
      <c r="I8" s="584"/>
      <c r="J8" s="599"/>
      <c r="K8" s="600"/>
      <c r="L8" s="601"/>
    </row>
    <row r="10" spans="1:12" ht="22.5" customHeight="1">
      <c r="B10" s="140"/>
      <c r="C10" s="141"/>
      <c r="D10" s="137"/>
      <c r="E10" s="136"/>
      <c r="F10" s="561" t="s">
        <v>41</v>
      </c>
      <c r="G10" s="562"/>
      <c r="H10" s="562"/>
      <c r="I10" s="562"/>
      <c r="J10" s="562"/>
      <c r="K10" s="562"/>
      <c r="L10" s="563"/>
    </row>
    <row r="11" spans="1:12" ht="18" customHeight="1">
      <c r="B11" s="142"/>
      <c r="C11" s="143"/>
      <c r="D11" s="559" t="s">
        <v>42</v>
      </c>
      <c r="E11" s="560" t="s">
        <v>43</v>
      </c>
      <c r="F11" s="558" t="s">
        <v>44</v>
      </c>
      <c r="G11" s="558"/>
      <c r="H11" s="558"/>
      <c r="I11" s="568" t="s">
        <v>45</v>
      </c>
      <c r="J11" s="569"/>
      <c r="K11" s="572" t="s">
        <v>46</v>
      </c>
      <c r="L11" s="573"/>
    </row>
    <row r="12" spans="1:12" ht="17.45">
      <c r="B12" s="142"/>
      <c r="C12" s="143"/>
      <c r="D12" s="559"/>
      <c r="E12" s="560"/>
      <c r="F12" s="558"/>
      <c r="G12" s="558"/>
      <c r="H12" s="558"/>
      <c r="I12" s="570"/>
      <c r="J12" s="571"/>
      <c r="K12" s="574" t="s">
        <v>47</v>
      </c>
      <c r="L12" s="575"/>
    </row>
    <row r="13" spans="1:12" ht="44.25" customHeight="1">
      <c r="B13" s="144" t="s">
        <v>48</v>
      </c>
      <c r="C13" s="145" t="s">
        <v>49</v>
      </c>
      <c r="D13" s="138">
        <v>0.25</v>
      </c>
      <c r="E13" s="134" t="e">
        <f>#REF!</f>
        <v>#REF!</v>
      </c>
      <c r="F13" s="564" t="s">
        <v>50</v>
      </c>
      <c r="G13" s="565"/>
      <c r="H13" s="565"/>
      <c r="I13" s="578"/>
      <c r="J13" s="579"/>
      <c r="K13" s="552" t="s">
        <v>51</v>
      </c>
      <c r="L13" s="553"/>
    </row>
    <row r="14" spans="1:12" ht="44.25" customHeight="1">
      <c r="B14" s="144" t="s">
        <v>52</v>
      </c>
      <c r="C14" s="145" t="s">
        <v>53</v>
      </c>
      <c r="D14" s="138">
        <v>0.25</v>
      </c>
      <c r="E14" s="134" t="e">
        <f>#REF!</f>
        <v>#REF!</v>
      </c>
      <c r="F14" s="564" t="s">
        <v>54</v>
      </c>
      <c r="G14" s="565"/>
      <c r="H14" s="565"/>
      <c r="I14" s="566" t="s">
        <v>55</v>
      </c>
      <c r="J14" s="567"/>
      <c r="K14" s="554"/>
      <c r="L14" s="555"/>
    </row>
    <row r="15" spans="1:12" ht="44.25" customHeight="1">
      <c r="B15" s="144" t="s">
        <v>56</v>
      </c>
      <c r="C15" s="145" t="s">
        <v>57</v>
      </c>
      <c r="D15" s="138">
        <v>0.15</v>
      </c>
      <c r="E15" s="134" t="e">
        <f>#REF!</f>
        <v>#REF!</v>
      </c>
      <c r="F15" s="564" t="s">
        <v>58</v>
      </c>
      <c r="G15" s="565"/>
      <c r="H15" s="565"/>
      <c r="I15" s="566" t="s">
        <v>59</v>
      </c>
      <c r="J15" s="567"/>
      <c r="K15" s="554"/>
      <c r="L15" s="555"/>
    </row>
    <row r="16" spans="1:12" ht="44.25" customHeight="1">
      <c r="B16" s="146" t="s">
        <v>22</v>
      </c>
      <c r="C16" s="145" t="s">
        <v>60</v>
      </c>
      <c r="D16" s="139">
        <v>0.15</v>
      </c>
      <c r="E16" s="135" t="e">
        <f>#REF!</f>
        <v>#REF!</v>
      </c>
      <c r="F16" s="564" t="s">
        <v>61</v>
      </c>
      <c r="G16" s="565"/>
      <c r="H16" s="565"/>
      <c r="I16" s="566"/>
      <c r="J16" s="567"/>
      <c r="K16" s="554"/>
      <c r="L16" s="555"/>
    </row>
    <row r="17" spans="2:12" ht="44.25" customHeight="1">
      <c r="B17" s="144" t="s">
        <v>25</v>
      </c>
      <c r="C17" s="145" t="s">
        <v>62</v>
      </c>
      <c r="D17" s="138">
        <v>0.2</v>
      </c>
      <c r="E17" s="150" t="e">
        <f>#REF!</f>
        <v>#REF!</v>
      </c>
      <c r="F17" s="576"/>
      <c r="G17" s="576"/>
      <c r="H17" s="577"/>
      <c r="I17" s="152"/>
      <c r="J17" s="153"/>
      <c r="K17" s="556"/>
      <c r="L17" s="557"/>
    </row>
    <row r="18" spans="2:12" ht="17.45">
      <c r="B18" s="130"/>
      <c r="C18" s="131"/>
      <c r="D18" s="148"/>
      <c r="E18" s="149"/>
      <c r="F18" s="133"/>
      <c r="G18" s="130"/>
      <c r="H18" s="130"/>
      <c r="I18" s="130"/>
      <c r="J18" s="130"/>
      <c r="K18" s="130"/>
      <c r="L18" s="130"/>
    </row>
    <row r="19" spans="2:12" ht="21">
      <c r="B19" s="130"/>
      <c r="C19" s="131"/>
      <c r="D19" s="132"/>
      <c r="E19" s="133"/>
      <c r="F19" s="133"/>
      <c r="G19" s="130"/>
      <c r="H19" s="130"/>
      <c r="I19" s="130"/>
      <c r="J19" s="130"/>
      <c r="K19" s="130"/>
      <c r="L19" s="130"/>
    </row>
  </sheetData>
  <sheetProtection algorithmName="SHA-512" hashValue="llCQRLcM3iS2xpPv53JfdDtuIp6tgK4IWIAcsGLe//BGK+6mvBgCGAwjoVALMRmtkYPwmVGCVhRjEFvHgwkaVQ==" saltValue="FBuvpzab+6ZZ3UHnQnW42g==" spinCount="100000" sheet="1" objects="1" scenarios="1"/>
  <protectedRanges>
    <protectedRange sqref="K11:L19" name="reflection"/>
  </protectedRanges>
  <mergeCells count="36">
    <mergeCell ref="A1:K1"/>
    <mergeCell ref="B3:C3"/>
    <mergeCell ref="B4:C4"/>
    <mergeCell ref="B5:C5"/>
    <mergeCell ref="B6:C6"/>
    <mergeCell ref="J2:L3"/>
    <mergeCell ref="J4:L8"/>
    <mergeCell ref="G2:G3"/>
    <mergeCell ref="G4:G8"/>
    <mergeCell ref="B8:C8"/>
    <mergeCell ref="B7:C7"/>
    <mergeCell ref="D2:F3"/>
    <mergeCell ref="I15:J15"/>
    <mergeCell ref="H2:I3"/>
    <mergeCell ref="H4:I8"/>
    <mergeCell ref="D4:F4"/>
    <mergeCell ref="D5:F5"/>
    <mergeCell ref="D6:F6"/>
    <mergeCell ref="D7:F7"/>
    <mergeCell ref="D8:F8"/>
    <mergeCell ref="K13:L17"/>
    <mergeCell ref="F11:H12"/>
    <mergeCell ref="D11:D12"/>
    <mergeCell ref="E11:E12"/>
    <mergeCell ref="F10:L10"/>
    <mergeCell ref="F13:H13"/>
    <mergeCell ref="F14:H14"/>
    <mergeCell ref="F15:H15"/>
    <mergeCell ref="I16:J16"/>
    <mergeCell ref="F16:H16"/>
    <mergeCell ref="I11:J12"/>
    <mergeCell ref="K11:L11"/>
    <mergeCell ref="K12:L12"/>
    <mergeCell ref="F17:H17"/>
    <mergeCell ref="I13:J13"/>
    <mergeCell ref="I14:J14"/>
  </mergeCells>
  <conditionalFormatting sqref="G4">
    <cfRule type="cellIs" dxfId="13" priority="1" stopIfTrue="1" operator="equal">
      <formula>"Failed"</formula>
    </cfRule>
    <cfRule type="cellIs" dxfId="12" priority="2" stopIfTrue="1" operator="equal">
      <formula>"Passed"</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41454-D884-4B93-8E42-D0A7BB4D9AD0}">
  <sheetPr>
    <tabColor rgb="FFFFC000"/>
  </sheetPr>
  <dimension ref="A1:P59"/>
  <sheetViews>
    <sheetView tabSelected="1" topLeftCell="A10" workbookViewId="0">
      <selection activeCell="E16" sqref="E16:E18"/>
    </sheetView>
  </sheetViews>
  <sheetFormatPr defaultRowHeight="13.9"/>
  <cols>
    <col min="2" max="2" width="23.28515625" customWidth="1"/>
    <col min="4" max="4" width="11.42578125" customWidth="1"/>
    <col min="5" max="5" width="13.85546875" customWidth="1"/>
    <col min="6" max="7" width="11.42578125" customWidth="1"/>
    <col min="8" max="8" width="10.7109375" customWidth="1"/>
    <col min="9" max="9" width="13.42578125" customWidth="1"/>
    <col min="10" max="10" width="25.42578125" customWidth="1"/>
  </cols>
  <sheetData>
    <row r="1" spans="1:16">
      <c r="A1" s="508"/>
      <c r="B1" s="508"/>
      <c r="C1" s="508"/>
      <c r="D1" s="508"/>
      <c r="E1" s="508"/>
      <c r="F1" s="508"/>
      <c r="G1" s="508"/>
      <c r="H1" s="1029"/>
      <c r="I1" s="1029"/>
      <c r="J1" s="508"/>
      <c r="K1" s="508"/>
      <c r="L1" s="508"/>
      <c r="M1" s="492"/>
      <c r="N1" s="492"/>
      <c r="O1" s="492"/>
      <c r="P1" s="492"/>
    </row>
    <row r="2" spans="1:16">
      <c r="A2" s="508"/>
      <c r="B2" s="508"/>
      <c r="C2" s="508"/>
      <c r="D2" s="1029"/>
      <c r="E2" s="1029"/>
      <c r="F2" s="1029"/>
      <c r="G2" s="1029"/>
      <c r="H2" s="1029"/>
      <c r="I2" s="1029"/>
      <c r="J2" s="508" t="s">
        <v>63</v>
      </c>
      <c r="K2" s="508"/>
      <c r="L2" s="508"/>
      <c r="M2" s="492"/>
      <c r="N2" s="492"/>
      <c r="O2" s="492"/>
      <c r="P2" s="492"/>
    </row>
    <row r="3" spans="1:16" ht="32.25" customHeight="1">
      <c r="A3" s="508"/>
      <c r="C3" s="508"/>
      <c r="D3" s="1029"/>
      <c r="E3" s="1029"/>
      <c r="F3" s="1029"/>
      <c r="G3" s="1029"/>
      <c r="H3" s="1029"/>
      <c r="I3" s="1029"/>
      <c r="J3" s="508"/>
      <c r="K3" s="508"/>
      <c r="L3" s="508"/>
      <c r="M3" s="492"/>
      <c r="N3" s="492"/>
      <c r="O3" s="492"/>
      <c r="P3" s="492"/>
    </row>
    <row r="4" spans="1:16" ht="39.75" customHeight="1">
      <c r="A4" s="508"/>
      <c r="B4" s="492"/>
      <c r="C4" s="1030" t="s">
        <v>64</v>
      </c>
      <c r="D4" s="1030"/>
      <c r="E4" s="1030"/>
      <c r="F4" s="1030"/>
      <c r="G4" s="1030"/>
      <c r="H4" s="1030"/>
      <c r="I4" s="1030"/>
      <c r="J4" s="1030"/>
      <c r="K4" s="1030"/>
      <c r="L4" s="508"/>
      <c r="M4" s="492"/>
      <c r="N4" s="492"/>
      <c r="O4" s="492"/>
      <c r="P4" s="492"/>
    </row>
    <row r="5" spans="1:16">
      <c r="A5" s="508"/>
      <c r="B5" s="508"/>
      <c r="C5" s="508"/>
      <c r="D5" s="508"/>
      <c r="E5" s="508"/>
      <c r="F5" s="508"/>
      <c r="G5" s="508"/>
      <c r="H5" s="1031"/>
      <c r="I5" s="1031"/>
      <c r="J5" s="508"/>
      <c r="K5" s="508"/>
      <c r="L5" s="508"/>
      <c r="M5" s="492"/>
      <c r="N5" s="492"/>
      <c r="O5" s="492"/>
      <c r="P5" s="492"/>
    </row>
    <row r="6" spans="1:16" ht="18" customHeight="1">
      <c r="A6" s="508"/>
      <c r="B6" s="493" t="s">
        <v>65</v>
      </c>
      <c r="C6" s="1032"/>
      <c r="D6" s="1032"/>
      <c r="E6" s="1032"/>
      <c r="F6" s="1032"/>
      <c r="G6" s="1032"/>
      <c r="H6" s="510"/>
      <c r="I6" s="494" t="s">
        <v>66</v>
      </c>
      <c r="J6" s="494"/>
      <c r="K6" s="508"/>
      <c r="L6" s="508"/>
      <c r="M6" s="492"/>
      <c r="N6" s="492"/>
      <c r="O6" s="492"/>
      <c r="P6" s="492"/>
    </row>
    <row r="7" spans="1:16" ht="18" customHeight="1">
      <c r="A7" s="508"/>
      <c r="B7" s="495" t="s">
        <v>67</v>
      </c>
      <c r="C7" s="1033"/>
      <c r="D7" s="1033"/>
      <c r="E7" s="1033"/>
      <c r="F7" s="1033"/>
      <c r="G7" s="1033"/>
      <c r="H7" s="508"/>
      <c r="I7" s="496" t="s">
        <v>68</v>
      </c>
      <c r="J7" s="511" t="s">
        <v>69</v>
      </c>
      <c r="K7" s="508"/>
      <c r="L7" s="508"/>
      <c r="M7" s="492"/>
      <c r="N7" s="492"/>
      <c r="O7" s="492"/>
      <c r="P7" s="492"/>
    </row>
    <row r="8" spans="1:16" ht="18" customHeight="1">
      <c r="A8" s="508"/>
      <c r="B8" s="495" t="s">
        <v>70</v>
      </c>
      <c r="C8" s="1033"/>
      <c r="D8" s="1033"/>
      <c r="E8" s="1033"/>
      <c r="F8" s="1033"/>
      <c r="G8" s="1033"/>
      <c r="H8" s="508"/>
      <c r="I8" s="496" t="s">
        <v>71</v>
      </c>
      <c r="J8" s="511" t="s">
        <v>72</v>
      </c>
      <c r="K8" s="508"/>
      <c r="L8" s="508"/>
      <c r="M8" s="492"/>
      <c r="N8" s="492"/>
      <c r="O8" s="492"/>
      <c r="P8" s="492"/>
    </row>
    <row r="9" spans="1:16" ht="18" customHeight="1">
      <c r="A9" s="508"/>
      <c r="B9" s="495" t="s">
        <v>73</v>
      </c>
      <c r="C9" s="605"/>
      <c r="D9" s="606"/>
      <c r="E9" s="606"/>
      <c r="F9" s="606"/>
      <c r="G9" s="606"/>
      <c r="H9" s="508"/>
      <c r="I9" s="496" t="s">
        <v>71</v>
      </c>
      <c r="J9" s="511" t="s">
        <v>74</v>
      </c>
      <c r="K9" s="508"/>
      <c r="L9" s="508"/>
      <c r="M9" s="492"/>
      <c r="N9" s="492"/>
      <c r="O9" s="492"/>
    </row>
    <row r="10" spans="1:16" ht="18" customHeight="1">
      <c r="A10" s="508"/>
      <c r="B10" s="512"/>
      <c r="C10" s="508"/>
      <c r="D10" s="508"/>
      <c r="E10" s="508"/>
      <c r="F10" s="508"/>
      <c r="G10" s="508"/>
      <c r="H10" s="508"/>
      <c r="I10" s="496" t="s">
        <v>71</v>
      </c>
      <c r="J10" s="511" t="s">
        <v>75</v>
      </c>
      <c r="K10" s="508"/>
      <c r="L10" s="508"/>
      <c r="M10" s="492"/>
      <c r="N10" s="492"/>
      <c r="O10" s="492"/>
      <c r="P10" s="492"/>
    </row>
    <row r="11" spans="1:16" ht="18" customHeight="1">
      <c r="A11" s="508"/>
      <c r="B11" s="513"/>
      <c r="C11" s="509"/>
      <c r="D11" s="509"/>
      <c r="E11" s="509"/>
      <c r="F11" s="509"/>
      <c r="G11" s="509"/>
      <c r="H11" s="509"/>
      <c r="I11" s="497" t="s">
        <v>71</v>
      </c>
      <c r="J11" s="503" t="s">
        <v>76</v>
      </c>
      <c r="K11" s="508"/>
      <c r="L11" s="508"/>
      <c r="M11" s="492"/>
      <c r="N11" s="492"/>
      <c r="O11" s="492"/>
      <c r="P11" s="492"/>
    </row>
    <row r="12" spans="1:16">
      <c r="A12" s="508"/>
      <c r="B12" s="508"/>
      <c r="C12" s="508"/>
      <c r="D12" s="508"/>
      <c r="E12" s="508"/>
      <c r="F12" s="508"/>
      <c r="G12" s="508"/>
      <c r="H12" s="1034"/>
      <c r="I12" s="1034"/>
      <c r="J12" s="508"/>
      <c r="K12" s="508"/>
      <c r="L12" s="508"/>
      <c r="M12" s="492"/>
      <c r="N12" s="492"/>
      <c r="O12" s="492"/>
      <c r="P12" s="492"/>
    </row>
    <row r="13" spans="1:16" ht="21" customHeight="1">
      <c r="A13" s="508"/>
      <c r="B13" s="498" t="s">
        <v>77</v>
      </c>
      <c r="C13" s="498"/>
      <c r="D13" s="498"/>
      <c r="E13" s="498"/>
      <c r="F13" s="498"/>
      <c r="G13" s="498"/>
      <c r="H13" s="1029"/>
      <c r="I13" s="1029"/>
      <c r="J13" s="508"/>
      <c r="K13" s="508"/>
      <c r="L13" s="508"/>
      <c r="M13" s="492"/>
      <c r="N13" s="492"/>
      <c r="O13" s="492"/>
      <c r="P13" s="492"/>
    </row>
    <row r="14" spans="1:16" ht="21" customHeight="1">
      <c r="A14" s="508"/>
      <c r="B14" s="498"/>
      <c r="C14" s="498"/>
      <c r="D14" s="498"/>
      <c r="E14" s="498"/>
      <c r="F14" s="498"/>
      <c r="G14" s="498"/>
      <c r="H14" s="1029"/>
      <c r="I14" s="1029"/>
      <c r="J14" s="508"/>
      <c r="K14" s="508"/>
      <c r="L14" s="508"/>
      <c r="M14" s="492"/>
      <c r="N14" s="492"/>
      <c r="O14" s="492"/>
      <c r="P14" s="492"/>
    </row>
    <row r="15" spans="1:16" ht="21" customHeight="1">
      <c r="A15" s="508"/>
      <c r="B15" s="1035" t="s">
        <v>78</v>
      </c>
      <c r="C15" s="1036"/>
      <c r="D15" s="1036"/>
      <c r="E15" s="506" t="s">
        <v>79</v>
      </c>
      <c r="F15" s="508"/>
      <c r="G15" s="607" t="s">
        <v>80</v>
      </c>
      <c r="H15" s="607"/>
      <c r="I15" s="607"/>
      <c r="J15" s="607"/>
      <c r="K15" s="514"/>
      <c r="L15" s="514"/>
      <c r="M15" s="492"/>
      <c r="N15" s="492"/>
      <c r="O15" s="492"/>
      <c r="P15" s="492"/>
    </row>
    <row r="16" spans="1:16" ht="21" customHeight="1">
      <c r="A16" s="508"/>
      <c r="B16" s="1037" t="s">
        <v>81</v>
      </c>
      <c r="C16" s="1032"/>
      <c r="D16" s="1038"/>
      <c r="E16" s="608">
        <f ca="1">'Performance Evaluation'!F19</f>
        <v>0.11824999999999999</v>
      </c>
      <c r="F16" s="508"/>
      <c r="G16" s="610" t="s">
        <v>82</v>
      </c>
      <c r="H16" s="610"/>
      <c r="I16" s="610"/>
      <c r="J16" s="610"/>
      <c r="K16" s="514"/>
      <c r="L16" s="514"/>
      <c r="M16" s="492"/>
      <c r="N16" s="492"/>
      <c r="O16" s="492"/>
      <c r="P16" s="492"/>
    </row>
    <row r="17" spans="1:16" ht="21" customHeight="1">
      <c r="A17" s="508"/>
      <c r="B17" s="1039" t="s">
        <v>83</v>
      </c>
      <c r="C17" s="1033"/>
      <c r="D17" s="1040"/>
      <c r="E17" s="609"/>
      <c r="F17" s="508"/>
      <c r="G17" s="611"/>
      <c r="H17" s="611"/>
      <c r="I17" s="611"/>
      <c r="J17" s="611"/>
      <c r="K17" s="508"/>
      <c r="L17" s="508"/>
      <c r="M17" s="492"/>
      <c r="N17" s="492"/>
      <c r="O17" s="492"/>
      <c r="P17" s="492"/>
    </row>
    <row r="18" spans="1:16" ht="21" customHeight="1">
      <c r="A18" s="508"/>
      <c r="B18" s="1041" t="s">
        <v>84</v>
      </c>
      <c r="C18" s="1042"/>
      <c r="D18" s="1043"/>
      <c r="E18" s="609"/>
      <c r="F18" s="508"/>
      <c r="G18" s="611"/>
      <c r="H18" s="611"/>
      <c r="I18" s="611"/>
      <c r="J18" s="611"/>
      <c r="K18" s="508"/>
      <c r="L18" s="508"/>
      <c r="M18" s="492"/>
      <c r="N18" s="492"/>
      <c r="O18" s="492"/>
      <c r="P18" s="492"/>
    </row>
    <row r="19" spans="1:16" ht="21" customHeight="1">
      <c r="A19" s="508"/>
      <c r="B19" s="1044" t="s">
        <v>85</v>
      </c>
      <c r="C19" s="1045"/>
      <c r="D19" s="1045"/>
      <c r="E19" s="505">
        <f ca="1">E16</f>
        <v>0.11824999999999999</v>
      </c>
      <c r="F19" s="508"/>
      <c r="G19" s="611"/>
      <c r="H19" s="611"/>
      <c r="I19" s="611"/>
      <c r="J19" s="611"/>
      <c r="K19" s="508"/>
      <c r="L19" s="508"/>
      <c r="M19" s="492"/>
      <c r="N19" s="492"/>
      <c r="O19" s="492"/>
      <c r="P19" s="492"/>
    </row>
    <row r="20" spans="1:16" ht="21" customHeight="1">
      <c r="A20" s="508"/>
      <c r="B20" s="1046"/>
      <c r="C20" s="1047"/>
      <c r="D20" s="1047"/>
      <c r="E20" s="1048"/>
      <c r="F20" s="508"/>
      <c r="G20" s="508"/>
      <c r="H20" s="1029"/>
      <c r="I20" s="1029"/>
      <c r="J20" s="508"/>
      <c r="K20" s="508"/>
      <c r="L20" s="508"/>
      <c r="M20" s="492"/>
      <c r="N20" s="492"/>
      <c r="O20" s="492"/>
      <c r="P20" s="492"/>
    </row>
    <row r="21" spans="1:16" ht="21" customHeight="1">
      <c r="A21" s="508"/>
      <c r="B21" s="1035" t="s">
        <v>86</v>
      </c>
      <c r="C21" s="1036"/>
      <c r="D21" s="1036"/>
      <c r="E21" s="506" t="s">
        <v>79</v>
      </c>
      <c r="F21" s="508"/>
      <c r="G21" s="607" t="s">
        <v>87</v>
      </c>
      <c r="H21" s="607"/>
      <c r="I21" s="607"/>
      <c r="J21" s="607"/>
      <c r="K21" s="508"/>
      <c r="L21" s="508"/>
      <c r="M21" s="492"/>
      <c r="N21" s="492"/>
      <c r="O21" s="492"/>
      <c r="P21" s="492"/>
    </row>
    <row r="22" spans="1:16" ht="21" customHeight="1">
      <c r="A22" s="508"/>
      <c r="B22" s="1037" t="s">
        <v>88</v>
      </c>
      <c r="C22" s="1032"/>
      <c r="D22" s="1038"/>
      <c r="E22" s="612">
        <f>'Performance Evaluation'!F20</f>
        <v>0</v>
      </c>
      <c r="F22" s="508"/>
      <c r="G22" s="613"/>
      <c r="H22" s="613"/>
      <c r="I22" s="613"/>
      <c r="J22" s="613"/>
      <c r="K22" s="508"/>
      <c r="L22" s="508"/>
      <c r="M22" s="492"/>
      <c r="N22" s="492"/>
      <c r="O22" s="492"/>
      <c r="P22" s="492"/>
    </row>
    <row r="23" spans="1:16" ht="21" customHeight="1">
      <c r="A23" s="508"/>
      <c r="B23" s="1039" t="s">
        <v>89</v>
      </c>
      <c r="C23" s="1033"/>
      <c r="D23" s="1040"/>
      <c r="E23" s="612"/>
      <c r="F23" s="508"/>
      <c r="G23" s="613"/>
      <c r="H23" s="613"/>
      <c r="I23" s="613"/>
      <c r="J23" s="613"/>
      <c r="K23" s="508"/>
      <c r="L23" s="508"/>
      <c r="M23" s="492"/>
      <c r="N23" s="492"/>
      <c r="O23" s="492"/>
      <c r="P23" s="500"/>
    </row>
    <row r="24" spans="1:16" ht="21" customHeight="1">
      <c r="A24" s="508"/>
      <c r="B24" s="1041" t="s">
        <v>90</v>
      </c>
      <c r="C24" s="1042"/>
      <c r="D24" s="1043"/>
      <c r="E24" s="612"/>
      <c r="F24" s="508"/>
      <c r="G24" s="613"/>
      <c r="H24" s="613"/>
      <c r="I24" s="613"/>
      <c r="J24" s="613"/>
      <c r="K24" s="508"/>
      <c r="L24" s="508"/>
      <c r="M24" s="492"/>
      <c r="N24" s="492"/>
      <c r="O24" s="492"/>
      <c r="P24" s="492"/>
    </row>
    <row r="25" spans="1:16" ht="21" customHeight="1">
      <c r="A25" s="508"/>
      <c r="B25" s="1044" t="s">
        <v>85</v>
      </c>
      <c r="C25" s="1045"/>
      <c r="D25" s="1045"/>
      <c r="E25" s="504">
        <f>E22</f>
        <v>0</v>
      </c>
      <c r="F25" s="508"/>
      <c r="G25" s="613"/>
      <c r="H25" s="613"/>
      <c r="I25" s="613"/>
      <c r="J25" s="613"/>
      <c r="K25" s="508"/>
      <c r="L25" s="508"/>
      <c r="M25" s="492"/>
      <c r="N25" s="492"/>
      <c r="O25" s="492"/>
      <c r="P25" s="492"/>
    </row>
    <row r="26" spans="1:16" ht="21" customHeight="1">
      <c r="A26" s="508"/>
      <c r="B26" s="1049"/>
      <c r="C26" s="1033"/>
      <c r="D26" s="1033"/>
      <c r="E26" s="1050"/>
      <c r="F26" s="508"/>
      <c r="G26" s="613"/>
      <c r="H26" s="613"/>
      <c r="I26" s="613"/>
      <c r="J26" s="613"/>
      <c r="K26" s="508"/>
      <c r="L26" s="508"/>
      <c r="M26" s="492"/>
      <c r="N26" s="492"/>
      <c r="O26" s="492"/>
      <c r="P26" s="492"/>
    </row>
    <row r="27" spans="1:16" ht="21" customHeight="1">
      <c r="A27" s="508"/>
      <c r="B27" s="1051" t="s">
        <v>91</v>
      </c>
      <c r="C27" s="1052"/>
      <c r="D27" s="1052"/>
      <c r="E27" s="501">
        <f ca="1">E19+E25</f>
        <v>0.11824999999999999</v>
      </c>
      <c r="F27" s="508"/>
      <c r="G27" s="613"/>
      <c r="H27" s="613"/>
      <c r="I27" s="613"/>
      <c r="J27" s="613"/>
      <c r="K27" s="508"/>
      <c r="L27" s="508"/>
      <c r="M27" s="492"/>
      <c r="N27" s="492"/>
      <c r="O27" s="492"/>
      <c r="P27" s="492"/>
    </row>
    <row r="28" spans="1:16" ht="21" customHeight="1">
      <c r="A28" s="508"/>
      <c r="B28" s="508"/>
      <c r="C28" s="508"/>
      <c r="D28" s="508"/>
      <c r="E28" s="508"/>
      <c r="F28" s="508"/>
      <c r="G28" s="508"/>
      <c r="H28" s="1029"/>
      <c r="I28" s="1029"/>
      <c r="J28" s="508"/>
      <c r="K28" s="508"/>
      <c r="L28" s="508"/>
      <c r="M28" s="492"/>
      <c r="N28" s="492"/>
      <c r="O28" s="492"/>
      <c r="P28" s="492"/>
    </row>
    <row r="29" spans="1:16" ht="21" customHeight="1">
      <c r="A29" s="508"/>
      <c r="B29" s="1053" t="s">
        <v>92</v>
      </c>
      <c r="C29" s="1053"/>
      <c r="D29" s="1053"/>
      <c r="E29" s="1053"/>
      <c r="F29" s="508"/>
      <c r="G29" s="508"/>
      <c r="H29" s="1029"/>
      <c r="I29" s="1029"/>
      <c r="J29" s="508"/>
      <c r="K29" s="508"/>
      <c r="L29" s="508"/>
      <c r="M29" s="492"/>
      <c r="N29" s="492"/>
      <c r="O29" s="492"/>
      <c r="P29" s="492"/>
    </row>
    <row r="30" spans="1:16" ht="21" customHeight="1">
      <c r="A30" s="508"/>
      <c r="B30" s="1053"/>
      <c r="C30" s="1053"/>
      <c r="D30" s="1053"/>
      <c r="E30" s="1053"/>
      <c r="F30" s="508"/>
      <c r="G30" s="508" t="s">
        <v>93</v>
      </c>
      <c r="H30" s="508"/>
      <c r="I30" s="508"/>
      <c r="J30" s="508"/>
      <c r="K30" s="508"/>
      <c r="L30" s="508"/>
      <c r="M30" s="492"/>
      <c r="N30" s="492"/>
      <c r="O30" s="492"/>
      <c r="P30" s="492"/>
    </row>
    <row r="31" spans="1:16" ht="21" customHeight="1">
      <c r="A31" s="508"/>
      <c r="B31" s="1053" t="s">
        <v>94</v>
      </c>
      <c r="C31" s="1053"/>
      <c r="D31" s="1029" t="s">
        <v>95</v>
      </c>
      <c r="E31" s="1029"/>
      <c r="F31" s="508"/>
      <c r="G31" s="508"/>
      <c r="H31" s="1029"/>
      <c r="I31" s="1029"/>
      <c r="J31" s="508"/>
      <c r="K31" s="508"/>
      <c r="L31" s="508"/>
      <c r="M31" s="492"/>
      <c r="N31" s="492"/>
      <c r="O31" s="492"/>
      <c r="P31" s="492"/>
    </row>
    <row r="32" spans="1:16" ht="21" customHeight="1">
      <c r="A32" s="508"/>
      <c r="B32" s="1053" t="s">
        <v>96</v>
      </c>
      <c r="C32" s="1053"/>
      <c r="D32" s="1029"/>
      <c r="E32" s="1029"/>
      <c r="F32" s="508"/>
      <c r="G32" s="1050"/>
      <c r="H32" s="1050"/>
      <c r="I32" s="1050"/>
      <c r="J32" s="1050"/>
      <c r="K32" s="508"/>
      <c r="L32" s="508"/>
      <c r="M32" s="492"/>
      <c r="N32" s="492"/>
      <c r="O32" s="492"/>
      <c r="P32" s="492"/>
    </row>
    <row r="33" spans="1:16" ht="21" customHeight="1">
      <c r="A33" s="508"/>
      <c r="B33" s="1053" t="s">
        <v>97</v>
      </c>
      <c r="C33" s="1053"/>
      <c r="D33" s="1054"/>
      <c r="E33" s="1054"/>
      <c r="F33" s="508"/>
      <c r="G33" s="1055" t="s">
        <v>98</v>
      </c>
      <c r="H33" s="1055"/>
      <c r="I33" s="1055"/>
      <c r="J33" s="1055"/>
      <c r="K33" s="508"/>
      <c r="L33" s="508"/>
      <c r="M33" s="492"/>
      <c r="N33" s="492"/>
      <c r="O33" s="492"/>
      <c r="P33" s="492"/>
    </row>
    <row r="34" spans="1:16" ht="21" customHeight="1">
      <c r="A34" s="508"/>
      <c r="B34" s="498" t="s">
        <v>99</v>
      </c>
      <c r="C34" s="498"/>
      <c r="D34" s="1029" t="s">
        <v>100</v>
      </c>
      <c r="E34" s="1029"/>
      <c r="F34" s="508"/>
      <c r="G34" s="1056" t="s">
        <v>101</v>
      </c>
      <c r="H34" s="1056"/>
      <c r="I34" s="1056"/>
      <c r="J34" s="1056"/>
      <c r="K34" s="508"/>
      <c r="L34" s="508"/>
      <c r="M34" s="492"/>
      <c r="N34" s="492"/>
      <c r="O34" s="492"/>
      <c r="P34" s="492"/>
    </row>
    <row r="35" spans="1:16" ht="21" customHeight="1">
      <c r="A35" s="508"/>
      <c r="B35" s="1053" t="s">
        <v>102</v>
      </c>
      <c r="C35" s="1053"/>
      <c r="D35" s="614"/>
      <c r="E35" s="614"/>
      <c r="F35" s="508"/>
      <c r="G35" s="508"/>
      <c r="H35" s="1029"/>
      <c r="I35" s="1029"/>
      <c r="J35" s="508"/>
      <c r="K35" s="508"/>
      <c r="L35" s="508"/>
      <c r="M35" s="492"/>
      <c r="N35" s="492"/>
      <c r="O35" s="492"/>
      <c r="P35" s="492"/>
    </row>
    <row r="36" spans="1:16">
      <c r="A36" s="508"/>
      <c r="B36" s="498"/>
      <c r="C36" s="498"/>
      <c r="D36" s="514"/>
      <c r="E36" s="514"/>
      <c r="F36" s="508"/>
      <c r="G36" s="508" t="s">
        <v>103</v>
      </c>
      <c r="H36" s="1029"/>
      <c r="I36" s="1029"/>
      <c r="J36" s="508"/>
      <c r="K36" s="508"/>
      <c r="L36" s="508"/>
      <c r="M36" s="492"/>
      <c r="N36" s="492"/>
      <c r="O36" s="492"/>
      <c r="P36" s="492"/>
    </row>
    <row r="37" spans="1:16">
      <c r="A37" s="508"/>
      <c r="B37" s="498"/>
      <c r="C37" s="498"/>
      <c r="D37" s="514"/>
      <c r="E37" s="514"/>
      <c r="F37" s="508"/>
      <c r="G37" s="508"/>
      <c r="H37" s="1029"/>
      <c r="I37" s="1029"/>
      <c r="J37" s="508"/>
      <c r="K37" s="508"/>
      <c r="L37" s="508"/>
      <c r="M37" s="492"/>
      <c r="N37" s="492"/>
      <c r="O37" s="492"/>
      <c r="P37" s="492"/>
    </row>
    <row r="38" spans="1:16" ht="33.75" customHeight="1">
      <c r="A38" s="508"/>
      <c r="B38" s="498"/>
      <c r="C38" s="498"/>
      <c r="D38" s="514"/>
      <c r="E38" s="514"/>
      <c r="F38" s="508"/>
      <c r="G38" s="1050"/>
      <c r="H38" s="1050"/>
      <c r="I38" s="1050"/>
      <c r="J38" s="1050"/>
      <c r="K38" s="508"/>
      <c r="L38" s="508"/>
      <c r="M38" s="492"/>
      <c r="N38" s="492"/>
      <c r="O38" s="492"/>
      <c r="P38" s="492"/>
    </row>
    <row r="39" spans="1:16">
      <c r="A39" s="508"/>
      <c r="B39" s="498"/>
      <c r="C39" s="498"/>
      <c r="D39" s="514"/>
      <c r="E39" s="514"/>
      <c r="F39" s="508"/>
      <c r="G39" s="1055" t="s">
        <v>104</v>
      </c>
      <c r="H39" s="1055"/>
      <c r="I39" s="1055"/>
      <c r="J39" s="1055"/>
      <c r="K39" s="508"/>
      <c r="L39" s="508"/>
      <c r="M39" s="492"/>
      <c r="N39" s="492"/>
      <c r="O39" s="492"/>
      <c r="P39" s="492"/>
    </row>
    <row r="40" spans="1:16">
      <c r="A40" s="508"/>
      <c r="B40" s="498"/>
      <c r="C40" s="498"/>
      <c r="D40" s="514"/>
      <c r="E40" s="514"/>
      <c r="F40" s="508"/>
      <c r="G40" s="1056" t="s">
        <v>105</v>
      </c>
      <c r="H40" s="1056"/>
      <c r="I40" s="1056"/>
      <c r="J40" s="1056"/>
      <c r="K40" s="508"/>
      <c r="L40" s="508"/>
      <c r="M40" s="492"/>
      <c r="N40" s="492"/>
      <c r="O40" s="492"/>
      <c r="P40" s="492"/>
    </row>
    <row r="41" spans="1:16" ht="31.5" customHeight="1">
      <c r="A41" s="508"/>
      <c r="B41" s="498"/>
      <c r="C41" s="498"/>
      <c r="D41" s="514"/>
      <c r="E41" s="514"/>
      <c r="F41" s="508"/>
      <c r="G41" s="1050"/>
      <c r="H41" s="1050"/>
      <c r="I41" s="1050"/>
      <c r="J41" s="1050"/>
      <c r="K41" s="508"/>
      <c r="L41" s="508"/>
      <c r="M41" s="492"/>
      <c r="N41" s="492"/>
      <c r="O41" s="492"/>
      <c r="P41" s="492"/>
    </row>
    <row r="42" spans="1:16">
      <c r="A42" s="508"/>
      <c r="B42" s="498"/>
      <c r="C42" s="498"/>
      <c r="D42" s="514"/>
      <c r="E42" s="514"/>
      <c r="F42" s="508"/>
      <c r="G42" s="1055" t="s">
        <v>106</v>
      </c>
      <c r="H42" s="1055"/>
      <c r="I42" s="1055"/>
      <c r="J42" s="1055"/>
      <c r="K42" s="508"/>
      <c r="L42" s="508"/>
      <c r="M42" s="492"/>
      <c r="N42" s="492"/>
      <c r="O42" s="492"/>
      <c r="P42" s="492"/>
    </row>
    <row r="43" spans="1:16" ht="18.75" customHeight="1">
      <c r="A43" s="508"/>
      <c r="B43" s="498"/>
      <c r="C43" s="498"/>
      <c r="D43" s="514"/>
      <c r="E43" s="514"/>
      <c r="F43" s="508"/>
      <c r="G43" s="1056" t="s">
        <v>107</v>
      </c>
      <c r="H43" s="1056"/>
      <c r="I43" s="1056"/>
      <c r="J43" s="1056"/>
      <c r="K43" s="508"/>
      <c r="L43" s="508"/>
      <c r="M43" s="492"/>
      <c r="N43" s="492"/>
      <c r="O43" s="492"/>
      <c r="P43" s="492"/>
    </row>
    <row r="44" spans="1:16">
      <c r="A44" s="508"/>
      <c r="B44" s="498"/>
      <c r="C44" s="498"/>
      <c r="D44" s="514"/>
      <c r="E44" s="514"/>
      <c r="F44" s="508"/>
      <c r="G44" s="502"/>
      <c r="H44" s="1056"/>
      <c r="I44" s="1056"/>
      <c r="J44" s="502"/>
      <c r="K44" s="508"/>
      <c r="L44" s="508"/>
      <c r="M44" s="492"/>
      <c r="N44" s="492"/>
      <c r="O44" s="492"/>
      <c r="P44" s="492"/>
    </row>
    <row r="45" spans="1:16">
      <c r="A45" s="508"/>
      <c r="B45" s="498"/>
      <c r="C45" s="498"/>
      <c r="D45" s="514"/>
      <c r="E45" s="514"/>
      <c r="F45" s="508"/>
      <c r="G45" s="508" t="s">
        <v>108</v>
      </c>
      <c r="H45" s="508"/>
      <c r="I45" s="508"/>
      <c r="J45" s="508"/>
      <c r="K45" s="508"/>
      <c r="L45" s="508"/>
      <c r="M45" s="492"/>
      <c r="N45" s="492"/>
      <c r="O45" s="492"/>
      <c r="P45" s="492"/>
    </row>
    <row r="46" spans="1:16">
      <c r="A46" s="508"/>
      <c r="B46" s="508"/>
      <c r="C46" s="508"/>
      <c r="D46" s="1029"/>
      <c r="E46" s="1029"/>
      <c r="F46" s="508"/>
      <c r="G46" s="1029"/>
      <c r="H46" s="1029"/>
      <c r="I46" s="1029"/>
      <c r="J46" s="1029"/>
      <c r="K46" s="508"/>
      <c r="L46" s="508"/>
      <c r="M46" s="492"/>
      <c r="N46" s="492"/>
      <c r="O46" s="492"/>
      <c r="P46" s="492"/>
    </row>
    <row r="47" spans="1:16">
      <c r="A47" s="508"/>
      <c r="B47" s="508"/>
      <c r="C47" s="508"/>
      <c r="D47" s="508"/>
      <c r="E47" s="508"/>
      <c r="F47" s="508"/>
      <c r="G47" s="1050"/>
      <c r="H47" s="1050"/>
      <c r="I47" s="1050"/>
      <c r="J47" s="1050"/>
      <c r="K47" s="508"/>
      <c r="L47" s="508"/>
      <c r="M47" s="492"/>
      <c r="N47" s="492"/>
      <c r="O47" s="492"/>
      <c r="P47" s="492"/>
    </row>
    <row r="48" spans="1:16">
      <c r="A48" s="508"/>
      <c r="B48" s="508"/>
      <c r="C48" s="508"/>
      <c r="D48" s="508"/>
      <c r="E48" s="508"/>
      <c r="F48" s="508"/>
      <c r="G48" s="1055" t="s">
        <v>109</v>
      </c>
      <c r="H48" s="1055"/>
      <c r="I48" s="1055"/>
      <c r="J48" s="1055"/>
      <c r="K48" s="508"/>
      <c r="L48" s="508"/>
      <c r="M48" s="492"/>
      <c r="N48" s="492"/>
      <c r="O48" s="492"/>
      <c r="P48" s="492"/>
    </row>
    <row r="49" spans="1:16">
      <c r="A49" s="508"/>
      <c r="B49" s="508"/>
      <c r="C49" s="499"/>
      <c r="D49" s="499"/>
      <c r="E49" s="499"/>
      <c r="F49" s="508"/>
      <c r="G49" s="1056" t="s">
        <v>110</v>
      </c>
      <c r="H49" s="1056"/>
      <c r="I49" s="1056"/>
      <c r="J49" s="1056"/>
      <c r="K49" s="508"/>
      <c r="L49" s="508"/>
      <c r="M49" s="492"/>
      <c r="N49" s="492"/>
      <c r="O49" s="492"/>
      <c r="P49" s="492"/>
    </row>
    <row r="50" spans="1:16">
      <c r="A50" s="508"/>
      <c r="B50" s="615" t="s">
        <v>111</v>
      </c>
      <c r="C50" s="615"/>
      <c r="D50" s="615"/>
      <c r="E50" s="615"/>
      <c r="F50" s="508"/>
      <c r="G50" s="508"/>
      <c r="H50" s="1029"/>
      <c r="I50" s="1029"/>
      <c r="J50" s="508"/>
      <c r="K50" s="508"/>
      <c r="L50" s="508"/>
      <c r="M50" s="492"/>
      <c r="N50" s="492"/>
      <c r="O50" s="492"/>
      <c r="P50" s="492"/>
    </row>
    <row r="51" spans="1:16">
      <c r="A51" s="508"/>
      <c r="B51" s="615"/>
      <c r="C51" s="615"/>
      <c r="D51" s="615"/>
      <c r="E51" s="615"/>
      <c r="F51" s="508"/>
      <c r="G51" s="1056"/>
      <c r="H51" s="1056"/>
      <c r="I51" s="1056"/>
      <c r="J51" s="1056"/>
      <c r="K51" s="508"/>
      <c r="L51" s="508"/>
      <c r="M51" s="492"/>
      <c r="N51" s="492"/>
      <c r="O51" s="492"/>
      <c r="P51" s="492"/>
    </row>
    <row r="52" spans="1:16">
      <c r="A52" s="508"/>
      <c r="B52" s="508"/>
      <c r="C52" s="508"/>
      <c r="D52" s="508"/>
      <c r="E52" s="508"/>
      <c r="F52" s="508"/>
      <c r="G52" s="1053"/>
      <c r="H52" s="1053"/>
      <c r="I52" s="1053"/>
      <c r="J52" s="1053"/>
      <c r="K52" s="508"/>
      <c r="L52" s="508"/>
      <c r="M52" s="492"/>
      <c r="N52" s="492"/>
      <c r="O52" s="492"/>
      <c r="P52" s="492"/>
    </row>
    <row r="53" spans="1:16">
      <c r="A53" s="508"/>
      <c r="B53" s="508"/>
      <c r="C53" s="508"/>
      <c r="D53" s="508"/>
      <c r="E53" s="508"/>
      <c r="F53" s="508"/>
      <c r="G53" s="1056"/>
      <c r="H53" s="1056"/>
      <c r="I53" s="1056"/>
      <c r="J53" s="1056"/>
      <c r="K53" s="508"/>
      <c r="L53" s="508"/>
      <c r="M53" s="492"/>
      <c r="N53" s="492"/>
      <c r="O53" s="492"/>
      <c r="P53" s="492"/>
    </row>
    <row r="54" spans="1:16">
      <c r="A54" s="508"/>
      <c r="B54" s="508"/>
      <c r="C54" s="508"/>
      <c r="D54" s="508"/>
      <c r="E54" s="508"/>
      <c r="F54" s="508"/>
      <c r="G54" s="508"/>
      <c r="H54" s="1029"/>
      <c r="I54" s="1029"/>
      <c r="J54" s="508"/>
      <c r="K54" s="508"/>
      <c r="L54" s="508"/>
      <c r="M54" s="492"/>
      <c r="N54" s="492"/>
      <c r="O54" s="492"/>
      <c r="P54" s="492"/>
    </row>
    <row r="55" spans="1:16">
      <c r="A55" s="508"/>
      <c r="B55" s="508"/>
      <c r="C55" s="508"/>
      <c r="D55" s="508"/>
      <c r="E55" s="508"/>
      <c r="F55" s="508"/>
      <c r="G55" s="508" t="s">
        <v>112</v>
      </c>
      <c r="H55" s="1029"/>
      <c r="I55" s="1029"/>
      <c r="J55" s="508"/>
      <c r="K55" s="508"/>
      <c r="L55" s="508"/>
      <c r="M55" s="492"/>
      <c r="N55" s="492"/>
      <c r="O55" s="492"/>
      <c r="P55" s="492"/>
    </row>
    <row r="56" spans="1:16">
      <c r="A56" s="508"/>
      <c r="B56" s="508"/>
      <c r="C56" s="508"/>
      <c r="D56" s="508"/>
      <c r="E56" s="508"/>
      <c r="F56" s="508"/>
      <c r="G56" s="508"/>
      <c r="H56" s="1029"/>
      <c r="I56" s="1029"/>
      <c r="J56" s="508"/>
      <c r="K56" s="508"/>
      <c r="L56" s="508"/>
      <c r="M56" s="492"/>
      <c r="N56" s="492"/>
      <c r="O56" s="492"/>
      <c r="P56" s="492"/>
    </row>
    <row r="57" spans="1:16">
      <c r="A57" s="508"/>
      <c r="B57" s="508"/>
      <c r="C57" s="508"/>
      <c r="D57" s="508"/>
      <c r="E57" s="508"/>
      <c r="F57" s="508"/>
      <c r="G57" s="1057" t="s">
        <v>113</v>
      </c>
      <c r="H57" s="1057"/>
      <c r="I57" s="1057"/>
      <c r="J57" s="1057"/>
      <c r="K57" s="508"/>
      <c r="L57" s="508"/>
      <c r="M57" s="492"/>
      <c r="N57" s="492"/>
      <c r="O57" s="492"/>
      <c r="P57" s="492"/>
    </row>
    <row r="58" spans="1:16">
      <c r="A58" s="508"/>
      <c r="B58" s="508"/>
      <c r="C58" s="508"/>
      <c r="D58" s="508"/>
      <c r="E58" s="508"/>
      <c r="F58" s="508"/>
      <c r="G58" s="1058" t="s">
        <v>114</v>
      </c>
      <c r="H58" s="1058"/>
      <c r="I58" s="1058"/>
      <c r="J58" s="1058"/>
      <c r="K58" s="508"/>
      <c r="L58" s="508"/>
      <c r="M58" s="492"/>
      <c r="N58" s="492"/>
      <c r="O58" s="492"/>
      <c r="P58" s="492"/>
    </row>
    <row r="59" spans="1:16">
      <c r="A59" s="508"/>
      <c r="B59" s="508"/>
      <c r="C59" s="508"/>
      <c r="D59" s="508"/>
      <c r="E59" s="508"/>
      <c r="F59" s="508"/>
      <c r="G59" s="1029"/>
      <c r="H59" s="1029"/>
      <c r="I59" s="1029"/>
      <c r="J59" s="1029"/>
      <c r="K59" s="508"/>
      <c r="L59" s="508"/>
      <c r="M59" s="492"/>
      <c r="N59" s="492"/>
      <c r="O59" s="492"/>
      <c r="P59" s="492"/>
    </row>
  </sheetData>
  <mergeCells count="75">
    <mergeCell ref="D46:E46"/>
    <mergeCell ref="G46:J46"/>
    <mergeCell ref="G47:J47"/>
    <mergeCell ref="G59:J59"/>
    <mergeCell ref="G49:J49"/>
    <mergeCell ref="B50:E51"/>
    <mergeCell ref="H50:I50"/>
    <mergeCell ref="G51:J51"/>
    <mergeCell ref="G52:J52"/>
    <mergeCell ref="G53:J53"/>
    <mergeCell ref="H54:I54"/>
    <mergeCell ref="H55:I55"/>
    <mergeCell ref="H56:I56"/>
    <mergeCell ref="G57:J57"/>
    <mergeCell ref="G58:J58"/>
    <mergeCell ref="G48:J48"/>
    <mergeCell ref="H37:I37"/>
    <mergeCell ref="G38:J38"/>
    <mergeCell ref="G39:J39"/>
    <mergeCell ref="G40:J40"/>
    <mergeCell ref="G41:J41"/>
    <mergeCell ref="G42:J42"/>
    <mergeCell ref="G43:J43"/>
    <mergeCell ref="H44:I44"/>
    <mergeCell ref="B29:E30"/>
    <mergeCell ref="H29:I29"/>
    <mergeCell ref="H36:I36"/>
    <mergeCell ref="B32:C32"/>
    <mergeCell ref="D32:E32"/>
    <mergeCell ref="G32:J32"/>
    <mergeCell ref="B33:C33"/>
    <mergeCell ref="D33:E33"/>
    <mergeCell ref="G33:J33"/>
    <mergeCell ref="D34:E34"/>
    <mergeCell ref="G34:J34"/>
    <mergeCell ref="B35:C35"/>
    <mergeCell ref="D35:E35"/>
    <mergeCell ref="H35:I35"/>
    <mergeCell ref="B31:C31"/>
    <mergeCell ref="D31:E31"/>
    <mergeCell ref="H31:I31"/>
    <mergeCell ref="B20:E20"/>
    <mergeCell ref="H20:I20"/>
    <mergeCell ref="B21:D21"/>
    <mergeCell ref="G21:J21"/>
    <mergeCell ref="B22:D22"/>
    <mergeCell ref="E22:E24"/>
    <mergeCell ref="G22:J27"/>
    <mergeCell ref="B23:D23"/>
    <mergeCell ref="B24:D24"/>
    <mergeCell ref="B25:D25"/>
    <mergeCell ref="B26:E26"/>
    <mergeCell ref="B27:D27"/>
    <mergeCell ref="H28:I28"/>
    <mergeCell ref="H14:I14"/>
    <mergeCell ref="B15:D15"/>
    <mergeCell ref="G15:J15"/>
    <mergeCell ref="B16:D16"/>
    <mergeCell ref="E16:E18"/>
    <mergeCell ref="G16:J19"/>
    <mergeCell ref="B17:D17"/>
    <mergeCell ref="B18:D18"/>
    <mergeCell ref="B19:D19"/>
    <mergeCell ref="H13:I13"/>
    <mergeCell ref="H1:I1"/>
    <mergeCell ref="D2:G3"/>
    <mergeCell ref="H2:I2"/>
    <mergeCell ref="H3:I3"/>
    <mergeCell ref="C4:K4"/>
    <mergeCell ref="H5:I5"/>
    <mergeCell ref="C6:G6"/>
    <mergeCell ref="C7:G7"/>
    <mergeCell ref="C8:G8"/>
    <mergeCell ref="C9:G9"/>
    <mergeCell ref="H12:I1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B78AD-E7C6-40D4-8BB8-0B60726C9363}">
  <sheetPr>
    <tabColor rgb="FFFFFF00"/>
  </sheetPr>
  <dimension ref="A1:L28"/>
  <sheetViews>
    <sheetView topLeftCell="A12" workbookViewId="0">
      <selection activeCell="E19" sqref="E19"/>
    </sheetView>
  </sheetViews>
  <sheetFormatPr defaultRowHeight="13.9"/>
  <cols>
    <col min="2" max="2" width="9" customWidth="1"/>
    <col min="3" max="3" width="42.140625" customWidth="1"/>
    <col min="4" max="4" width="18.140625" customWidth="1"/>
    <col min="5" max="5" width="19.5703125" customWidth="1"/>
    <col min="6" max="6" width="45" customWidth="1"/>
    <col min="7" max="7" width="26.5703125" customWidth="1"/>
    <col min="8" max="8" width="32.85546875" customWidth="1"/>
    <col min="9" max="9" width="29.28515625" customWidth="1"/>
  </cols>
  <sheetData>
    <row r="1" spans="1:12" ht="21">
      <c r="A1" s="516"/>
      <c r="B1" s="516"/>
      <c r="C1" s="516"/>
      <c r="D1" s="366"/>
      <c r="E1" s="516"/>
      <c r="F1" s="516"/>
      <c r="G1" s="516"/>
      <c r="H1" s="516"/>
      <c r="I1" s="516"/>
      <c r="J1" s="516"/>
      <c r="K1" s="516"/>
      <c r="L1" s="516"/>
    </row>
    <row r="2" spans="1:12" ht="21">
      <c r="A2" s="516"/>
      <c r="B2" s="1059" t="s">
        <v>115</v>
      </c>
      <c r="C2" s="1059"/>
      <c r="D2" s="1059"/>
      <c r="E2" s="1059"/>
      <c r="F2" s="1059"/>
      <c r="G2" s="1059"/>
      <c r="H2" s="1059"/>
      <c r="I2" s="1059"/>
      <c r="J2" s="516"/>
      <c r="K2" s="516"/>
      <c r="L2" s="516"/>
    </row>
    <row r="3" spans="1:12" ht="21">
      <c r="A3" s="516"/>
      <c r="B3" s="516"/>
      <c r="C3" s="516"/>
      <c r="D3" s="331"/>
      <c r="E3" s="516"/>
      <c r="F3" s="516"/>
      <c r="G3" s="516"/>
      <c r="H3" s="516"/>
      <c r="I3" s="516"/>
      <c r="J3" s="516"/>
      <c r="K3" s="516"/>
      <c r="L3" s="516"/>
    </row>
    <row r="4" spans="1:12" ht="27.75" customHeight="1">
      <c r="A4" s="332"/>
      <c r="B4" s="373" t="s">
        <v>116</v>
      </c>
      <c r="C4" s="379" t="s">
        <v>117</v>
      </c>
      <c r="D4" s="380" t="s">
        <v>118</v>
      </c>
      <c r="E4" s="619" t="s">
        <v>119</v>
      </c>
      <c r="F4" s="620"/>
      <c r="G4" s="378" t="s">
        <v>31</v>
      </c>
      <c r="H4" s="621" t="s">
        <v>120</v>
      </c>
      <c r="I4" s="622"/>
      <c r="J4" s="332"/>
      <c r="K4" s="516"/>
      <c r="L4" s="516"/>
    </row>
    <row r="5" spans="1:12" ht="18" customHeight="1">
      <c r="A5" s="332"/>
      <c r="B5" s="374" t="s">
        <v>116</v>
      </c>
      <c r="C5" s="381" t="s">
        <v>121</v>
      </c>
      <c r="D5" s="382" t="s">
        <v>118</v>
      </c>
      <c r="E5" s="623" t="s">
        <v>113</v>
      </c>
      <c r="F5" s="624"/>
      <c r="G5" s="1060" t="s">
        <v>116</v>
      </c>
      <c r="H5" s="1061" t="s">
        <v>116</v>
      </c>
      <c r="I5" s="1062"/>
      <c r="J5" s="333"/>
      <c r="K5" s="516"/>
      <c r="L5" s="516"/>
    </row>
    <row r="6" spans="1:12" ht="23.25" customHeight="1">
      <c r="A6" s="332"/>
      <c r="B6" s="374" t="s">
        <v>116</v>
      </c>
      <c r="C6" s="381" t="s">
        <v>122</v>
      </c>
      <c r="D6" s="382" t="s">
        <v>118</v>
      </c>
      <c r="E6" s="625">
        <v>45898</v>
      </c>
      <c r="F6" s="626"/>
      <c r="G6" s="1063"/>
      <c r="H6" s="1064"/>
      <c r="I6" s="1065"/>
      <c r="J6" s="332"/>
      <c r="K6" s="516"/>
      <c r="L6" s="516"/>
    </row>
    <row r="7" spans="1:12" ht="23.25" customHeight="1">
      <c r="A7" s="332"/>
      <c r="B7" s="374" t="s">
        <v>116</v>
      </c>
      <c r="C7" s="381" t="s">
        <v>123</v>
      </c>
      <c r="D7" s="382" t="s">
        <v>118</v>
      </c>
      <c r="E7" s="627" t="s">
        <v>124</v>
      </c>
      <c r="F7" s="628"/>
      <c r="G7" s="1063"/>
      <c r="H7" s="1064"/>
      <c r="I7" s="1065"/>
      <c r="J7" s="332"/>
      <c r="K7" s="516"/>
      <c r="L7" s="516"/>
    </row>
    <row r="8" spans="1:12" ht="24.75" customHeight="1">
      <c r="A8" s="332"/>
      <c r="B8" s="375" t="s">
        <v>116</v>
      </c>
      <c r="C8" s="383" t="s">
        <v>125</v>
      </c>
      <c r="D8" s="384" t="s">
        <v>118</v>
      </c>
      <c r="E8" s="629" t="s">
        <v>126</v>
      </c>
      <c r="F8" s="630"/>
      <c r="G8" s="1066"/>
      <c r="H8" s="1067"/>
      <c r="I8" s="1068"/>
      <c r="J8" s="332"/>
      <c r="K8" s="516"/>
      <c r="L8" s="516"/>
    </row>
    <row r="9" spans="1:12" ht="21">
      <c r="A9" s="516"/>
      <c r="B9" s="516"/>
      <c r="C9" s="516"/>
      <c r="D9" s="331"/>
      <c r="E9" s="516"/>
      <c r="F9" s="516"/>
      <c r="G9" s="516"/>
      <c r="H9" s="516"/>
      <c r="I9" s="516"/>
      <c r="J9" s="516"/>
      <c r="K9" s="516"/>
      <c r="L9" s="516"/>
    </row>
    <row r="10" spans="1:12" ht="33" customHeight="1">
      <c r="A10" s="516"/>
      <c r="B10" s="516"/>
      <c r="C10" s="516"/>
      <c r="D10" s="331"/>
      <c r="E10" s="516"/>
      <c r="F10" s="631" t="s">
        <v>127</v>
      </c>
      <c r="G10" s="632"/>
      <c r="H10" s="632"/>
      <c r="I10" s="633"/>
      <c r="J10" s="516"/>
      <c r="K10" s="516"/>
      <c r="L10" s="516"/>
    </row>
    <row r="11" spans="1:12" ht="31.5" customHeight="1">
      <c r="A11" s="334"/>
      <c r="B11" s="334"/>
      <c r="C11" s="334"/>
      <c r="D11" s="397" t="s">
        <v>42</v>
      </c>
      <c r="E11" s="377" t="s">
        <v>43</v>
      </c>
      <c r="F11" s="634" t="s">
        <v>44</v>
      </c>
      <c r="G11" s="635"/>
      <c r="H11" s="636" t="s">
        <v>45</v>
      </c>
      <c r="I11" s="637"/>
      <c r="J11" s="334"/>
      <c r="K11" s="342"/>
      <c r="L11" s="342"/>
    </row>
    <row r="12" spans="1:12" s="2" customFormat="1" ht="76.5" customHeight="1">
      <c r="A12" s="517"/>
      <c r="B12" s="398" t="s">
        <v>48</v>
      </c>
      <c r="C12" s="393" t="s">
        <v>128</v>
      </c>
      <c r="D12" s="394">
        <v>0.25</v>
      </c>
      <c r="E12" s="401">
        <f ca="1">(Dashboard!F14*0.5)+(Dashboard!F26*0.5)</f>
        <v>0.11824999999999999</v>
      </c>
      <c r="F12" s="616"/>
      <c r="G12" s="617"/>
      <c r="H12" s="617"/>
      <c r="I12" s="618"/>
      <c r="J12" s="517"/>
      <c r="K12" s="361"/>
      <c r="L12" s="361"/>
    </row>
    <row r="13" spans="1:12" s="2" customFormat="1" ht="76.5" customHeight="1">
      <c r="A13" s="517"/>
      <c r="B13" s="399" t="s">
        <v>52</v>
      </c>
      <c r="C13" s="390" t="s">
        <v>129</v>
      </c>
      <c r="D13" s="392">
        <v>0.2</v>
      </c>
      <c r="E13" s="402">
        <f ca="1">(Dashboard!F15*0.5)+(Dashboard!F27*0.5)</f>
        <v>0</v>
      </c>
      <c r="F13" s="616"/>
      <c r="G13" s="617"/>
      <c r="H13" s="617"/>
      <c r="I13" s="618"/>
      <c r="J13" s="517"/>
      <c r="K13" s="363"/>
      <c r="L13" s="363"/>
    </row>
    <row r="14" spans="1:12" s="2" customFormat="1" ht="76.5" customHeight="1">
      <c r="A14" s="517"/>
      <c r="B14" s="399" t="s">
        <v>56</v>
      </c>
      <c r="C14" s="390" t="s">
        <v>130</v>
      </c>
      <c r="D14" s="392">
        <v>0.15</v>
      </c>
      <c r="E14" s="402">
        <f ca="1">(Dashboard!F16*0.5)+(Dashboard!F28*0.5)</f>
        <v>0</v>
      </c>
      <c r="F14" s="616"/>
      <c r="G14" s="617"/>
      <c r="H14" s="617"/>
      <c r="I14" s="618"/>
      <c r="J14" s="517"/>
      <c r="K14" s="363"/>
      <c r="L14" s="363"/>
    </row>
    <row r="15" spans="1:12" s="2" customFormat="1" ht="76.5" customHeight="1">
      <c r="A15" s="517"/>
      <c r="B15" s="399" t="s">
        <v>22</v>
      </c>
      <c r="C15" s="391" t="s">
        <v>131</v>
      </c>
      <c r="D15" s="392">
        <v>0.15</v>
      </c>
      <c r="E15" s="402">
        <f ca="1">(Dashboard!F17*0.5)+(Dashboard!F29*0.5)</f>
        <v>0</v>
      </c>
      <c r="F15" s="616"/>
      <c r="G15" s="617"/>
      <c r="H15" s="617"/>
      <c r="I15" s="618"/>
      <c r="J15" s="517"/>
      <c r="K15" s="517"/>
      <c r="L15" s="517"/>
    </row>
    <row r="16" spans="1:12" s="2" customFormat="1" ht="76.5" customHeight="1">
      <c r="A16" s="517"/>
      <c r="B16" s="399" t="s">
        <v>25</v>
      </c>
      <c r="C16" s="391" t="s">
        <v>132</v>
      </c>
      <c r="D16" s="392">
        <v>0.05</v>
      </c>
      <c r="E16" s="402">
        <v>0</v>
      </c>
      <c r="F16" s="616"/>
      <c r="G16" s="617"/>
      <c r="H16" s="617"/>
      <c r="I16" s="618"/>
      <c r="J16" s="517"/>
      <c r="K16" s="517"/>
      <c r="L16" s="517"/>
    </row>
    <row r="17" spans="1:12" s="2" customFormat="1" ht="76.5" customHeight="1">
      <c r="A17" s="517"/>
      <c r="B17" s="399" t="s">
        <v>133</v>
      </c>
      <c r="C17" s="390" t="s">
        <v>134</v>
      </c>
      <c r="D17" s="392">
        <v>0.05</v>
      </c>
      <c r="E17" s="402">
        <v>0</v>
      </c>
      <c r="F17" s="638"/>
      <c r="G17" s="639"/>
      <c r="H17" s="640"/>
      <c r="I17" s="641"/>
      <c r="J17" s="517"/>
      <c r="K17" s="517"/>
      <c r="L17" s="517"/>
    </row>
    <row r="18" spans="1:12" s="2" customFormat="1" ht="76.5" customHeight="1">
      <c r="A18" s="517"/>
      <c r="B18" s="400" t="s">
        <v>135</v>
      </c>
      <c r="C18" s="395" t="s">
        <v>136</v>
      </c>
      <c r="D18" s="396">
        <v>0.15</v>
      </c>
      <c r="E18" s="403">
        <v>0</v>
      </c>
      <c r="F18" s="642"/>
      <c r="G18" s="643"/>
      <c r="H18" s="644"/>
      <c r="I18" s="645"/>
      <c r="J18" s="517"/>
      <c r="K18" s="365"/>
      <c r="L18" s="365"/>
    </row>
    <row r="19" spans="1:12" ht="15.6">
      <c r="A19" s="516"/>
      <c r="B19" s="516"/>
      <c r="C19" s="516"/>
      <c r="D19" s="385">
        <v>1</v>
      </c>
      <c r="E19" s="385">
        <f ca="1">F19+F20</f>
        <v>0.11824999999999999</v>
      </c>
      <c r="F19" s="519">
        <f ca="1">SUM(E12:E16)</f>
        <v>0.11824999999999999</v>
      </c>
      <c r="G19" s="516"/>
      <c r="H19" s="516"/>
      <c r="I19" s="516"/>
      <c r="J19" s="516"/>
      <c r="K19" s="515"/>
      <c r="L19" s="515"/>
    </row>
    <row r="20" spans="1:12" ht="21">
      <c r="A20" s="516"/>
      <c r="B20" s="516"/>
      <c r="C20" s="516"/>
      <c r="D20" s="331"/>
      <c r="E20" s="520"/>
      <c r="F20" s="519">
        <f>SUM(E17:E18)</f>
        <v>0</v>
      </c>
      <c r="G20" s="516"/>
      <c r="H20" s="516"/>
      <c r="I20" s="516"/>
      <c r="J20" s="516"/>
      <c r="K20" s="516"/>
      <c r="L20" s="516"/>
    </row>
    <row r="21" spans="1:12" ht="26.25" customHeight="1">
      <c r="A21" s="335"/>
      <c r="B21" s="646" t="s">
        <v>137</v>
      </c>
      <c r="C21" s="646"/>
      <c r="D21" s="646"/>
      <c r="E21" s="646"/>
      <c r="F21" s="646"/>
      <c r="G21" s="646"/>
      <c r="H21" s="646"/>
      <c r="I21" s="646"/>
      <c r="J21" s="335"/>
      <c r="K21" s="341"/>
      <c r="L21" s="341"/>
    </row>
    <row r="22" spans="1:12" ht="22.5" customHeight="1">
      <c r="A22" s="335"/>
      <c r="B22" s="646"/>
      <c r="C22" s="646"/>
      <c r="D22" s="646"/>
      <c r="E22" s="646"/>
      <c r="F22" s="646"/>
      <c r="G22" s="646"/>
      <c r="H22" s="646"/>
      <c r="I22" s="646"/>
      <c r="J22" s="335"/>
      <c r="K22" s="341"/>
      <c r="L22" s="341"/>
    </row>
    <row r="23" spans="1:12" ht="32.25" customHeight="1">
      <c r="A23" s="335"/>
      <c r="B23" s="335"/>
      <c r="C23" s="335"/>
      <c r="D23" s="336"/>
      <c r="E23" s="335"/>
      <c r="F23" s="335"/>
      <c r="G23" s="335"/>
      <c r="H23" s="335"/>
      <c r="I23" s="335"/>
      <c r="J23" s="335"/>
      <c r="K23" s="516"/>
      <c r="L23" s="516"/>
    </row>
    <row r="24" spans="1:12" ht="35.25" customHeight="1">
      <c r="A24" s="335"/>
      <c r="B24" s="335"/>
      <c r="C24" s="1069" t="s">
        <v>138</v>
      </c>
      <c r="D24" s="1069"/>
      <c r="E24" s="1069"/>
      <c r="F24" s="1069"/>
      <c r="G24" s="1069" t="s">
        <v>139</v>
      </c>
      <c r="H24" s="1069"/>
      <c r="I24" s="1069"/>
      <c r="J24" s="335"/>
      <c r="K24" s="337"/>
      <c r="L24" s="337"/>
    </row>
    <row r="25" spans="1:12" ht="39.75" customHeight="1">
      <c r="A25" s="335"/>
      <c r="B25" s="335"/>
      <c r="C25" s="336" t="s">
        <v>140</v>
      </c>
      <c r="D25" s="1070" t="s">
        <v>116</v>
      </c>
      <c r="E25" s="1070"/>
      <c r="F25" s="1070"/>
      <c r="G25" s="372" t="s">
        <v>140</v>
      </c>
      <c r="H25" s="647" t="s">
        <v>116</v>
      </c>
      <c r="I25" s="647"/>
      <c r="J25" s="335"/>
      <c r="K25" s="341"/>
      <c r="L25" s="341"/>
    </row>
    <row r="26" spans="1:12" ht="38.25" customHeight="1">
      <c r="A26" s="335"/>
      <c r="B26" s="335"/>
      <c r="C26" s="336" t="s">
        <v>141</v>
      </c>
      <c r="D26" s="1071" t="s">
        <v>116</v>
      </c>
      <c r="E26" s="1071"/>
      <c r="F26" s="1071"/>
      <c r="G26" s="372" t="s">
        <v>141</v>
      </c>
      <c r="H26" s="647" t="s">
        <v>116</v>
      </c>
      <c r="I26" s="647"/>
      <c r="J26" s="335"/>
      <c r="K26" s="516"/>
      <c r="L26" s="516"/>
    </row>
    <row r="27" spans="1:12" ht="38.25" customHeight="1">
      <c r="A27" s="335"/>
      <c r="B27" s="335"/>
      <c r="C27" s="336" t="s">
        <v>142</v>
      </c>
      <c r="D27" s="1071" t="s">
        <v>116</v>
      </c>
      <c r="E27" s="1071"/>
      <c r="F27" s="1071"/>
      <c r="G27" s="372" t="s">
        <v>142</v>
      </c>
      <c r="H27" s="647" t="s">
        <v>116</v>
      </c>
      <c r="I27" s="647"/>
      <c r="J27" s="335"/>
      <c r="K27" s="516"/>
      <c r="L27" s="516"/>
    </row>
    <row r="28" spans="1:12" ht="21.6">
      <c r="A28" s="516"/>
      <c r="B28" s="516"/>
      <c r="C28" s="516"/>
      <c r="D28" s="331"/>
      <c r="E28" s="516"/>
      <c r="F28" s="516"/>
      <c r="G28" s="516"/>
      <c r="H28" s="516"/>
      <c r="I28" s="516"/>
      <c r="J28" s="516"/>
      <c r="K28" s="341"/>
      <c r="L28" s="341"/>
    </row>
  </sheetData>
  <mergeCells count="35">
    <mergeCell ref="D25:F25"/>
    <mergeCell ref="H25:I25"/>
    <mergeCell ref="D26:F26"/>
    <mergeCell ref="H26:I26"/>
    <mergeCell ref="D27:F27"/>
    <mergeCell ref="H27:I27"/>
    <mergeCell ref="C24:F24"/>
    <mergeCell ref="G24:I24"/>
    <mergeCell ref="F14:G14"/>
    <mergeCell ref="H14:I14"/>
    <mergeCell ref="F15:G15"/>
    <mergeCell ref="H15:I15"/>
    <mergeCell ref="F16:G16"/>
    <mergeCell ref="H16:I16"/>
    <mergeCell ref="F17:G17"/>
    <mergeCell ref="H17:I17"/>
    <mergeCell ref="F18:G18"/>
    <mergeCell ref="H18:I18"/>
    <mergeCell ref="B21:I22"/>
    <mergeCell ref="F13:G13"/>
    <mergeCell ref="H13:I13"/>
    <mergeCell ref="B2:I2"/>
    <mergeCell ref="E4:F4"/>
    <mergeCell ref="H4:I4"/>
    <mergeCell ref="E5:F5"/>
    <mergeCell ref="G5:G8"/>
    <mergeCell ref="H5:I8"/>
    <mergeCell ref="E6:F6"/>
    <mergeCell ref="E7:F7"/>
    <mergeCell ref="E8:F8"/>
    <mergeCell ref="F10:I10"/>
    <mergeCell ref="F11:G11"/>
    <mergeCell ref="H11:I11"/>
    <mergeCell ref="F12:G12"/>
    <mergeCell ref="H12:I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ECED5-E273-44C6-866C-667377333DF2}">
  <sheetPr>
    <tabColor theme="9" tint="-0.499984740745262"/>
  </sheetPr>
  <dimension ref="A1:P33"/>
  <sheetViews>
    <sheetView topLeftCell="A20" workbookViewId="0">
      <selection activeCell="F26" sqref="F26:F32"/>
    </sheetView>
  </sheetViews>
  <sheetFormatPr defaultRowHeight="13.9"/>
  <cols>
    <col min="1" max="1" width="4" customWidth="1"/>
    <col min="2" max="2" width="6" customWidth="1"/>
    <col min="3" max="3" width="22" customWidth="1"/>
    <col min="4" max="4" width="18.5703125" customWidth="1"/>
    <col min="6" max="6" width="11.7109375" customWidth="1"/>
    <col min="9" max="9" width="12" customWidth="1"/>
    <col min="10" max="10" width="10.7109375" customWidth="1"/>
    <col min="12" max="12" width="13" customWidth="1"/>
    <col min="13" max="13" width="11.140625" customWidth="1"/>
    <col min="14" max="14" width="7.140625" customWidth="1"/>
    <col min="15" max="15" width="10.85546875" customWidth="1"/>
    <col min="16" max="16" width="15.28515625" customWidth="1"/>
  </cols>
  <sheetData>
    <row r="1" spans="1:16">
      <c r="A1" s="648" t="s">
        <v>143</v>
      </c>
      <c r="B1" s="648"/>
      <c r="C1" s="648"/>
      <c r="D1" s="648"/>
      <c r="E1" s="648"/>
      <c r="F1" s="648"/>
      <c r="G1" s="648"/>
      <c r="H1" s="648"/>
      <c r="I1" s="648"/>
      <c r="J1" s="648"/>
      <c r="K1" s="648"/>
      <c r="L1" s="648"/>
      <c r="M1" s="648"/>
      <c r="N1" s="648"/>
      <c r="O1" s="648"/>
      <c r="P1" s="648"/>
    </row>
    <row r="2" spans="1:16">
      <c r="A2" s="648"/>
      <c r="B2" s="648"/>
      <c r="C2" s="648"/>
      <c r="D2" s="648"/>
      <c r="E2" s="648"/>
      <c r="F2" s="648"/>
      <c r="G2" s="648"/>
      <c r="H2" s="648"/>
      <c r="I2" s="648"/>
      <c r="J2" s="648"/>
      <c r="K2" s="648"/>
      <c r="L2" s="648"/>
      <c r="M2" s="648"/>
      <c r="N2" s="648"/>
      <c r="O2" s="648"/>
      <c r="P2" s="648"/>
    </row>
    <row r="3" spans="1:16">
      <c r="B3" s="649" t="s">
        <v>144</v>
      </c>
      <c r="C3" s="650"/>
      <c r="D3" s="651" t="s">
        <v>145</v>
      </c>
      <c r="E3" s="651"/>
      <c r="F3" s="651"/>
      <c r="G3" s="652" t="s">
        <v>146</v>
      </c>
      <c r="H3" s="653"/>
      <c r="I3" s="654" t="s">
        <v>31</v>
      </c>
      <c r="J3" s="654"/>
      <c r="K3" s="655" t="s">
        <v>120</v>
      </c>
      <c r="L3" s="654"/>
      <c r="M3" s="654"/>
      <c r="N3" s="654"/>
      <c r="O3" s="654"/>
      <c r="P3" s="654"/>
    </row>
    <row r="4" spans="1:16">
      <c r="B4" s="649" t="s">
        <v>147</v>
      </c>
      <c r="C4" s="650"/>
      <c r="D4" s="656" t="s">
        <v>148</v>
      </c>
      <c r="E4" s="656"/>
      <c r="F4" s="656"/>
      <c r="G4" s="657">
        <f ca="1">(G12*0.5)+(G24*0.5)</f>
        <v>0.23044999999999999</v>
      </c>
      <c r="H4" s="658"/>
      <c r="I4" s="660" t="str">
        <f ca="1">VLOOKUP(G4,newRating1, 3, TRUE)</f>
        <v>POOR</v>
      </c>
      <c r="J4" s="661"/>
      <c r="K4" s="662" t="str">
        <f ca="1">VLOOKUP(G4, newRating1, 4, TRUE)</f>
        <v>Consistently failed to expectations.</v>
      </c>
      <c r="L4" s="662"/>
      <c r="M4" s="662"/>
      <c r="N4" s="662"/>
      <c r="O4" s="662"/>
      <c r="P4" s="662"/>
    </row>
    <row r="5" spans="1:16">
      <c r="B5" s="649" t="s">
        <v>149</v>
      </c>
      <c r="C5" s="650"/>
      <c r="D5" s="656" t="s">
        <v>150</v>
      </c>
      <c r="E5" s="656"/>
      <c r="F5" s="656"/>
      <c r="G5" s="659"/>
      <c r="H5" s="658"/>
      <c r="I5" s="660"/>
      <c r="J5" s="661"/>
      <c r="K5" s="662"/>
      <c r="L5" s="662"/>
      <c r="M5" s="662"/>
      <c r="N5" s="662"/>
      <c r="O5" s="662"/>
      <c r="P5" s="662"/>
    </row>
    <row r="6" spans="1:16">
      <c r="B6" s="213"/>
      <c r="C6" s="214" t="s">
        <v>151</v>
      </c>
      <c r="D6" s="663" t="s">
        <v>152</v>
      </c>
      <c r="E6" s="656"/>
      <c r="F6" s="656"/>
      <c r="G6" s="659"/>
      <c r="H6" s="658"/>
      <c r="I6" s="660"/>
      <c r="J6" s="661"/>
      <c r="K6" s="662"/>
      <c r="L6" s="662"/>
      <c r="M6" s="662"/>
      <c r="N6" s="662"/>
      <c r="O6" s="662"/>
      <c r="P6" s="662"/>
    </row>
    <row r="7" spans="1:16">
      <c r="B7" s="649" t="s">
        <v>153</v>
      </c>
      <c r="C7" s="650"/>
      <c r="D7" s="663" t="s">
        <v>119</v>
      </c>
      <c r="E7" s="656"/>
      <c r="F7" s="656"/>
      <c r="G7" s="659"/>
      <c r="H7" s="658"/>
      <c r="I7" s="660"/>
      <c r="J7" s="661"/>
      <c r="K7" s="662"/>
      <c r="L7" s="662"/>
      <c r="M7" s="662"/>
      <c r="N7" s="662"/>
      <c r="O7" s="662"/>
      <c r="P7" s="662"/>
    </row>
    <row r="8" spans="1:16">
      <c r="B8" s="649" t="s">
        <v>154</v>
      </c>
      <c r="C8" s="650"/>
      <c r="D8" s="663" t="s">
        <v>126</v>
      </c>
      <c r="E8" s="656"/>
      <c r="F8" s="656"/>
      <c r="G8" s="659"/>
      <c r="H8" s="658"/>
      <c r="I8" s="660"/>
      <c r="J8" s="661"/>
      <c r="K8" s="662"/>
      <c r="L8" s="662"/>
      <c r="M8" s="662"/>
      <c r="N8" s="662"/>
      <c r="O8" s="662"/>
      <c r="P8" s="662"/>
    </row>
    <row r="10" spans="1:16" ht="15" customHeight="1">
      <c r="B10" s="654" t="s">
        <v>155</v>
      </c>
      <c r="C10" s="654"/>
      <c r="D10" s="654"/>
      <c r="E10" s="654"/>
      <c r="F10" s="654"/>
      <c r="G10" s="654"/>
      <c r="H10" s="654"/>
      <c r="I10" s="654"/>
      <c r="J10" s="654"/>
      <c r="K10" s="654"/>
      <c r="L10" s="654"/>
      <c r="M10" s="654"/>
      <c r="N10" s="654"/>
      <c r="O10" s="654"/>
      <c r="P10" s="654"/>
    </row>
    <row r="11" spans="1:16" ht="15" customHeight="1">
      <c r="B11" s="664"/>
      <c r="C11" s="664"/>
      <c r="D11" s="664"/>
      <c r="E11" s="664"/>
      <c r="F11" s="664"/>
      <c r="G11" s="666" t="s">
        <v>146</v>
      </c>
      <c r="H11" s="666"/>
      <c r="I11" s="666" t="s">
        <v>31</v>
      </c>
      <c r="J11" s="666"/>
      <c r="K11" s="666" t="s">
        <v>120</v>
      </c>
      <c r="L11" s="666"/>
      <c r="M11" s="666"/>
      <c r="N11" s="666"/>
      <c r="O11" s="666"/>
      <c r="P11" s="666"/>
    </row>
    <row r="12" spans="1:16" ht="30" customHeight="1">
      <c r="B12" s="665"/>
      <c r="C12" s="665"/>
      <c r="D12" s="665"/>
      <c r="E12" s="665"/>
      <c r="F12" s="665"/>
      <c r="G12" s="667">
        <f ca="1">+F14+F15+F16+F17+F18+F19+F20</f>
        <v>0.46089999999999998</v>
      </c>
      <c r="H12" s="667"/>
      <c r="I12" s="668" t="str">
        <f ca="1">VLOOKUP(G12,ratingScore!B2:E6,3,TRUE)</f>
        <v>POOR</v>
      </c>
      <c r="J12" s="668"/>
      <c r="K12" s="669" t="str">
        <f ca="1">VLOOKUP(G12,ratingScore!B2:E6,4,TRUE)</f>
        <v>Consistently failed to expectations.</v>
      </c>
      <c r="L12" s="669"/>
      <c r="M12" s="669"/>
      <c r="N12" s="669"/>
      <c r="O12" s="669"/>
      <c r="P12" s="669"/>
    </row>
    <row r="13" spans="1:16" ht="15" customHeight="1">
      <c r="B13" s="654" t="s">
        <v>156</v>
      </c>
      <c r="C13" s="654"/>
      <c r="D13" s="654"/>
      <c r="E13" s="127" t="s">
        <v>42</v>
      </c>
      <c r="F13" s="127" t="s">
        <v>43</v>
      </c>
      <c r="G13" s="654" t="s">
        <v>44</v>
      </c>
      <c r="H13" s="654"/>
      <c r="I13" s="654"/>
      <c r="J13" s="654"/>
      <c r="K13" s="654"/>
      <c r="L13" s="654" t="s">
        <v>45</v>
      </c>
      <c r="M13" s="654"/>
      <c r="N13" s="654"/>
      <c r="O13" s="654"/>
      <c r="P13" s="654"/>
    </row>
    <row r="14" spans="1:16" ht="54" customHeight="1">
      <c r="B14" s="120" t="s">
        <v>48</v>
      </c>
      <c r="C14" s="670" t="s">
        <v>128</v>
      </c>
      <c r="D14" s="670"/>
      <c r="E14" s="163">
        <v>0.25</v>
      </c>
      <c r="F14" s="164">
        <f ca="1">BootcampEndorsementScoreCard!E12</f>
        <v>0.23649999999999999</v>
      </c>
      <c r="G14" s="671"/>
      <c r="H14" s="672"/>
      <c r="I14" s="672"/>
      <c r="J14" s="672"/>
      <c r="K14" s="673"/>
      <c r="L14" s="671"/>
      <c r="M14" s="672"/>
      <c r="N14" s="672"/>
      <c r="O14" s="672"/>
      <c r="P14" s="673"/>
    </row>
    <row r="15" spans="1:16" ht="42.75" customHeight="1">
      <c r="B15" s="120" t="s">
        <v>52</v>
      </c>
      <c r="C15" s="670" t="s">
        <v>129</v>
      </c>
      <c r="D15" s="670"/>
      <c r="E15" s="163">
        <v>0.2</v>
      </c>
      <c r="F15" s="164">
        <f ca="1">BootcampEndorsementScoreCard!E13</f>
        <v>0</v>
      </c>
      <c r="G15" s="671"/>
      <c r="H15" s="672"/>
      <c r="I15" s="672"/>
      <c r="J15" s="672"/>
      <c r="K15" s="673"/>
      <c r="L15" s="671"/>
      <c r="M15" s="672"/>
      <c r="N15" s="672"/>
      <c r="O15" s="672"/>
      <c r="P15" s="673"/>
    </row>
    <row r="16" spans="1:16" ht="41.25" customHeight="1">
      <c r="B16" s="120" t="s">
        <v>56</v>
      </c>
      <c r="C16" s="670" t="s">
        <v>130</v>
      </c>
      <c r="D16" s="670"/>
      <c r="E16" s="163">
        <v>0.15</v>
      </c>
      <c r="F16" s="164">
        <f ca="1">BootcampEndorsementScoreCard!E14</f>
        <v>0</v>
      </c>
      <c r="G16" s="671"/>
      <c r="H16" s="672"/>
      <c r="I16" s="672"/>
      <c r="J16" s="672"/>
      <c r="K16" s="673"/>
      <c r="L16" s="671"/>
      <c r="M16" s="672"/>
      <c r="N16" s="672"/>
      <c r="O16" s="672"/>
      <c r="P16" s="673"/>
    </row>
    <row r="17" spans="2:16" ht="42.75" customHeight="1">
      <c r="B17" s="120" t="s">
        <v>157</v>
      </c>
      <c r="C17" s="670" t="s">
        <v>158</v>
      </c>
      <c r="D17" s="670"/>
      <c r="E17" s="163">
        <v>0.1</v>
      </c>
      <c r="F17" s="164">
        <f ca="1">BootcampEndorsementScoreCard!E15</f>
        <v>0</v>
      </c>
      <c r="G17" s="671"/>
      <c r="H17" s="672"/>
      <c r="I17" s="672"/>
      <c r="J17" s="672"/>
      <c r="K17" s="673"/>
      <c r="L17" s="671"/>
      <c r="M17" s="672"/>
      <c r="N17" s="672"/>
      <c r="O17" s="672"/>
      <c r="P17" s="673"/>
    </row>
    <row r="18" spans="2:16" ht="42.75" customHeight="1">
      <c r="B18" s="120" t="s">
        <v>25</v>
      </c>
      <c r="C18" s="670" t="s">
        <v>132</v>
      </c>
      <c r="D18" s="670"/>
      <c r="E18" s="163">
        <v>0.1</v>
      </c>
      <c r="F18" s="164">
        <f ca="1">BootcampEndorsementScoreCard!E16</f>
        <v>0.04</v>
      </c>
      <c r="G18" s="671"/>
      <c r="H18" s="672"/>
      <c r="I18" s="672"/>
      <c r="J18" s="672"/>
      <c r="K18" s="673"/>
      <c r="L18" s="671"/>
      <c r="M18" s="672"/>
      <c r="N18" s="672"/>
      <c r="O18" s="672"/>
      <c r="P18" s="673"/>
    </row>
    <row r="19" spans="2:16" ht="42.75" customHeight="1">
      <c r="B19" s="120" t="s">
        <v>133</v>
      </c>
      <c r="C19" s="674" t="s">
        <v>134</v>
      </c>
      <c r="D19" s="674"/>
      <c r="E19" s="163">
        <v>0.1</v>
      </c>
      <c r="F19" s="164">
        <f>BootcampEndorsementScoreCard!E17</f>
        <v>0.1</v>
      </c>
      <c r="G19" s="671"/>
      <c r="H19" s="672"/>
      <c r="I19" s="672"/>
      <c r="J19" s="672"/>
      <c r="K19" s="673"/>
      <c r="L19" s="671"/>
      <c r="M19" s="672"/>
      <c r="N19" s="672"/>
      <c r="O19" s="672"/>
      <c r="P19" s="673"/>
    </row>
    <row r="20" spans="2:16" ht="77.25" customHeight="1">
      <c r="B20" s="120" t="s">
        <v>135</v>
      </c>
      <c r="C20" s="670" t="s">
        <v>136</v>
      </c>
      <c r="D20" s="670"/>
      <c r="E20" s="163">
        <v>0.1</v>
      </c>
      <c r="F20" s="164">
        <f>BootcampEndorsementScoreCard!E18</f>
        <v>8.4400000000000003E-2</v>
      </c>
      <c r="G20" s="671"/>
      <c r="H20" s="672"/>
      <c r="I20" s="672"/>
      <c r="J20" s="672"/>
      <c r="K20" s="673"/>
      <c r="L20" s="671"/>
      <c r="M20" s="672"/>
      <c r="N20" s="672"/>
      <c r="O20" s="672"/>
      <c r="P20" s="673"/>
    </row>
    <row r="22" spans="2:16">
      <c r="B22" s="654" t="s">
        <v>159</v>
      </c>
      <c r="C22" s="654"/>
      <c r="D22" s="654"/>
      <c r="E22" s="654"/>
      <c r="F22" s="654"/>
      <c r="G22" s="654"/>
      <c r="H22" s="654"/>
      <c r="I22" s="654"/>
      <c r="J22" s="654"/>
      <c r="K22" s="654"/>
      <c r="L22" s="654"/>
      <c r="M22" s="654"/>
      <c r="N22" s="654"/>
      <c r="O22" s="654"/>
      <c r="P22" s="654"/>
    </row>
    <row r="23" spans="2:16">
      <c r="B23" s="664"/>
      <c r="C23" s="664"/>
      <c r="D23" s="664"/>
      <c r="E23" s="664"/>
      <c r="F23" s="664"/>
      <c r="G23" s="666" t="s">
        <v>146</v>
      </c>
      <c r="H23" s="666"/>
      <c r="I23" s="666" t="s">
        <v>31</v>
      </c>
      <c r="J23" s="666"/>
      <c r="K23" s="666" t="s">
        <v>120</v>
      </c>
      <c r="L23" s="666"/>
      <c r="M23" s="666"/>
      <c r="N23" s="666"/>
      <c r="O23" s="666"/>
      <c r="P23" s="666"/>
    </row>
    <row r="24" spans="2:16" ht="37.5" customHeight="1">
      <c r="B24" s="665"/>
      <c r="C24" s="665"/>
      <c r="D24" s="665"/>
      <c r="E24" s="665"/>
      <c r="F24" s="665"/>
      <c r="G24" s="668">
        <f>+F26+F27+F28+F29+F30+F31+F32</f>
        <v>0</v>
      </c>
      <c r="H24" s="668"/>
      <c r="I24" s="668" t="str">
        <f>VLOOKUP(G24,newRating1, 3, TRUE)</f>
        <v>POOR</v>
      </c>
      <c r="J24" s="668"/>
      <c r="K24" s="669" t="str">
        <f>VLOOKUP(G24,newRating1,4,TRUE)</f>
        <v>Consistently failed to expectations.</v>
      </c>
      <c r="L24" s="669"/>
      <c r="M24" s="669"/>
      <c r="N24" s="669"/>
      <c r="O24" s="669"/>
      <c r="P24" s="669"/>
    </row>
    <row r="25" spans="2:16">
      <c r="B25" s="654" t="s">
        <v>156</v>
      </c>
      <c r="C25" s="654"/>
      <c r="D25" s="654"/>
      <c r="E25" s="127" t="s">
        <v>42</v>
      </c>
      <c r="F25" s="127" t="s">
        <v>43</v>
      </c>
      <c r="G25" s="654" t="s">
        <v>44</v>
      </c>
      <c r="H25" s="654"/>
      <c r="I25" s="654"/>
      <c r="J25" s="654"/>
      <c r="K25" s="654"/>
      <c r="L25" s="654" t="s">
        <v>45</v>
      </c>
      <c r="M25" s="654"/>
      <c r="N25" s="654"/>
      <c r="O25" s="654"/>
      <c r="P25" s="654"/>
    </row>
    <row r="26" spans="2:16" ht="58.5" customHeight="1">
      <c r="B26" s="120" t="s">
        <v>48</v>
      </c>
      <c r="C26" s="670" t="s">
        <v>128</v>
      </c>
      <c r="D26" s="670"/>
      <c r="E26" s="163">
        <f>BootcampEndorsementScoreCard!D12</f>
        <v>0.25</v>
      </c>
      <c r="F26" s="164">
        <f>'Part 1 Evaluation'!E12</f>
        <v>0</v>
      </c>
      <c r="G26" s="671"/>
      <c r="H26" s="672"/>
      <c r="I26" s="672"/>
      <c r="J26" s="672"/>
      <c r="K26" s="673"/>
      <c r="L26" s="671"/>
      <c r="M26" s="672"/>
      <c r="N26" s="672"/>
      <c r="O26" s="672"/>
      <c r="P26" s="673"/>
    </row>
    <row r="27" spans="2:16" ht="45" customHeight="1">
      <c r="B27" s="120" t="s">
        <v>52</v>
      </c>
      <c r="C27" s="670" t="s">
        <v>129</v>
      </c>
      <c r="D27" s="670"/>
      <c r="E27" s="163">
        <f>BootcampEndorsementScoreCard!D13</f>
        <v>0.2</v>
      </c>
      <c r="F27" s="164">
        <f>'Part 1 Evaluation'!E13</f>
        <v>0</v>
      </c>
      <c r="G27" s="671"/>
      <c r="H27" s="672"/>
      <c r="I27" s="672"/>
      <c r="J27" s="672"/>
      <c r="K27" s="673"/>
      <c r="L27" s="671"/>
      <c r="M27" s="672"/>
      <c r="N27" s="672"/>
      <c r="O27" s="672"/>
      <c r="P27" s="673"/>
    </row>
    <row r="28" spans="2:16" ht="45" customHeight="1">
      <c r="B28" s="120" t="s">
        <v>56</v>
      </c>
      <c r="C28" s="675" t="s">
        <v>130</v>
      </c>
      <c r="D28" s="676"/>
      <c r="E28" s="163">
        <f>BootcampEndorsementScoreCard!D14</f>
        <v>0.15</v>
      </c>
      <c r="F28" s="164">
        <f>'Part 1 Evaluation'!E14</f>
        <v>0</v>
      </c>
      <c r="G28" s="671"/>
      <c r="H28" s="672"/>
      <c r="I28" s="672"/>
      <c r="J28" s="672"/>
      <c r="K28" s="673"/>
      <c r="L28" s="671"/>
      <c r="M28" s="672"/>
      <c r="N28" s="672"/>
      <c r="O28" s="672"/>
      <c r="P28" s="673"/>
    </row>
    <row r="29" spans="2:16" ht="45" customHeight="1">
      <c r="B29" s="120" t="s">
        <v>22</v>
      </c>
      <c r="C29" s="674" t="s">
        <v>158</v>
      </c>
      <c r="D29" s="674"/>
      <c r="E29" s="163">
        <f>BootcampEndorsementScoreCard!D15</f>
        <v>0.1</v>
      </c>
      <c r="F29" s="164">
        <f>'Part 1 Evaluation'!E15</f>
        <v>0</v>
      </c>
      <c r="G29" s="671"/>
      <c r="H29" s="672"/>
      <c r="I29" s="672"/>
      <c r="J29" s="672"/>
      <c r="K29" s="673"/>
      <c r="L29" s="671"/>
      <c r="M29" s="672"/>
      <c r="N29" s="672"/>
      <c r="O29" s="672"/>
      <c r="P29" s="673"/>
    </row>
    <row r="30" spans="2:16" ht="45" customHeight="1">
      <c r="B30" s="120" t="s">
        <v>160</v>
      </c>
      <c r="C30" s="670" t="s">
        <v>132</v>
      </c>
      <c r="D30" s="670"/>
      <c r="E30" s="163">
        <f>BootcampEndorsementScoreCard!D16</f>
        <v>0.1</v>
      </c>
      <c r="F30" s="164">
        <f>'Part 1 Evaluation'!E16</f>
        <v>0</v>
      </c>
      <c r="G30" s="671"/>
      <c r="H30" s="672"/>
      <c r="I30" s="672"/>
      <c r="J30" s="672"/>
      <c r="K30" s="673"/>
      <c r="L30" s="671"/>
      <c r="M30" s="672"/>
      <c r="N30" s="672"/>
      <c r="O30" s="672"/>
      <c r="P30" s="673"/>
    </row>
    <row r="31" spans="2:16" ht="37.5" customHeight="1">
      <c r="B31" s="120" t="s">
        <v>133</v>
      </c>
      <c r="C31" s="675" t="s">
        <v>134</v>
      </c>
      <c r="D31" s="676"/>
      <c r="E31" s="163">
        <f>BootcampEndorsementScoreCard!D17</f>
        <v>0.1</v>
      </c>
      <c r="F31" s="164">
        <f>'Part 1 Evaluation'!E17</f>
        <v>0</v>
      </c>
      <c r="G31" s="671"/>
      <c r="H31" s="672"/>
      <c r="I31" s="672"/>
      <c r="J31" s="672"/>
      <c r="K31" s="673"/>
      <c r="L31" s="671"/>
      <c r="M31" s="672"/>
      <c r="N31" s="672"/>
      <c r="O31" s="672"/>
      <c r="P31" s="673"/>
    </row>
    <row r="32" spans="2:16" ht="38.25" customHeight="1">
      <c r="B32" s="120" t="s">
        <v>135</v>
      </c>
      <c r="C32" s="674" t="s">
        <v>136</v>
      </c>
      <c r="D32" s="674"/>
      <c r="E32" s="163">
        <f>BootcampEndorsementScoreCard!D18</f>
        <v>0.1</v>
      </c>
      <c r="F32" s="164">
        <f>'Part 1 Evaluation'!E18</f>
        <v>0</v>
      </c>
      <c r="G32" s="671"/>
      <c r="H32" s="672"/>
      <c r="I32" s="672"/>
      <c r="J32" s="672"/>
      <c r="K32" s="673"/>
      <c r="L32" s="671"/>
      <c r="M32" s="672"/>
      <c r="N32" s="672"/>
      <c r="O32" s="672"/>
      <c r="P32" s="673"/>
    </row>
    <row r="33" ht="15" customHeight="1"/>
  </sheetData>
  <sheetProtection algorithmName="SHA-512" hashValue="mHGGvQqo4R+ABUW/F3IWuQc4fBi4epE9E5CvGaUogLJPjfEHz09E0tz+kYofPOh/Z2DlAVGgb4UyS4Pz+X0d6Q==" saltValue="uSHPv+XH+SiNcbye/znj6A==" spinCount="100000" sheet="1" objects="1" scenarios="1"/>
  <mergeCells count="82">
    <mergeCell ref="C17:D17"/>
    <mergeCell ref="C18:D18"/>
    <mergeCell ref="G17:K17"/>
    <mergeCell ref="L17:P17"/>
    <mergeCell ref="G18:K18"/>
    <mergeCell ref="L18:P18"/>
    <mergeCell ref="C31:D31"/>
    <mergeCell ref="G31:K31"/>
    <mergeCell ref="L31:P31"/>
    <mergeCell ref="C32:D32"/>
    <mergeCell ref="G32:K32"/>
    <mergeCell ref="L32:P32"/>
    <mergeCell ref="C29:D29"/>
    <mergeCell ref="G29:K29"/>
    <mergeCell ref="L29:P29"/>
    <mergeCell ref="C30:D30"/>
    <mergeCell ref="G30:K30"/>
    <mergeCell ref="L30:P30"/>
    <mergeCell ref="C27:D27"/>
    <mergeCell ref="G27:K27"/>
    <mergeCell ref="L27:P27"/>
    <mergeCell ref="C28:D28"/>
    <mergeCell ref="G28:K28"/>
    <mergeCell ref="L28:P28"/>
    <mergeCell ref="B25:D25"/>
    <mergeCell ref="G25:K25"/>
    <mergeCell ref="L25:P25"/>
    <mergeCell ref="C26:D26"/>
    <mergeCell ref="G26:K26"/>
    <mergeCell ref="L26:P26"/>
    <mergeCell ref="B22:P22"/>
    <mergeCell ref="B23:F24"/>
    <mergeCell ref="G23:H23"/>
    <mergeCell ref="I23:J23"/>
    <mergeCell ref="K23:P23"/>
    <mergeCell ref="G24:H24"/>
    <mergeCell ref="I24:J24"/>
    <mergeCell ref="K24:P24"/>
    <mergeCell ref="C19:D19"/>
    <mergeCell ref="G19:K19"/>
    <mergeCell ref="L19:P19"/>
    <mergeCell ref="C20:D20"/>
    <mergeCell ref="G20:K20"/>
    <mergeCell ref="L20:P20"/>
    <mergeCell ref="C15:D15"/>
    <mergeCell ref="G15:K15"/>
    <mergeCell ref="L15:P15"/>
    <mergeCell ref="C16:D16"/>
    <mergeCell ref="G16:K16"/>
    <mergeCell ref="L16:P16"/>
    <mergeCell ref="B13:D13"/>
    <mergeCell ref="G13:K13"/>
    <mergeCell ref="L13:P13"/>
    <mergeCell ref="C14:D14"/>
    <mergeCell ref="G14:K14"/>
    <mergeCell ref="L14:P14"/>
    <mergeCell ref="B10:P10"/>
    <mergeCell ref="B11:F12"/>
    <mergeCell ref="G11:H11"/>
    <mergeCell ref="I11:J11"/>
    <mergeCell ref="K11:P11"/>
    <mergeCell ref="G12:H12"/>
    <mergeCell ref="I12:J12"/>
    <mergeCell ref="K12:P12"/>
    <mergeCell ref="B4:C4"/>
    <mergeCell ref="D4:F4"/>
    <mergeCell ref="G4:H8"/>
    <mergeCell ref="I4:J8"/>
    <mergeCell ref="K4:P8"/>
    <mergeCell ref="B5:C5"/>
    <mergeCell ref="D5:F5"/>
    <mergeCell ref="D6:F6"/>
    <mergeCell ref="B7:C7"/>
    <mergeCell ref="D7:F7"/>
    <mergeCell ref="B8:C8"/>
    <mergeCell ref="D8:F8"/>
    <mergeCell ref="A1:P2"/>
    <mergeCell ref="B3:C3"/>
    <mergeCell ref="D3:F3"/>
    <mergeCell ref="G3:H3"/>
    <mergeCell ref="I3:J3"/>
    <mergeCell ref="K3:P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0E4C-E493-4401-AD5A-B8EFA88F8AF7}">
  <sheetPr>
    <tabColor theme="1" tint="0.499984740745262"/>
  </sheetPr>
  <dimension ref="A1:L28"/>
  <sheetViews>
    <sheetView topLeftCell="A14" workbookViewId="0">
      <selection activeCell="C24" sqref="C24:F24"/>
    </sheetView>
  </sheetViews>
  <sheetFormatPr defaultRowHeight="13.9"/>
  <cols>
    <col min="2" max="2" width="9" customWidth="1"/>
    <col min="3" max="3" width="46.85546875" customWidth="1"/>
    <col min="4" max="4" width="18.140625" customWidth="1"/>
    <col min="5" max="5" width="19.5703125" customWidth="1"/>
    <col min="6" max="6" width="45" customWidth="1"/>
    <col min="7" max="7" width="31.28515625" customWidth="1"/>
    <col min="8" max="8" width="28" customWidth="1"/>
    <col min="9" max="9" width="29.28515625" customWidth="1"/>
  </cols>
  <sheetData>
    <row r="1" spans="1:12" ht="21">
      <c r="A1" s="516"/>
      <c r="B1" s="516"/>
      <c r="C1" s="516"/>
      <c r="D1" s="366"/>
      <c r="E1" s="516"/>
      <c r="F1" s="516"/>
      <c r="G1" s="516"/>
      <c r="H1" s="516"/>
      <c r="I1" s="516"/>
      <c r="J1" s="516"/>
      <c r="K1" s="516"/>
      <c r="L1" s="516"/>
    </row>
    <row r="2" spans="1:12" ht="21">
      <c r="A2" s="516"/>
      <c r="B2" s="1059" t="s">
        <v>115</v>
      </c>
      <c r="C2" s="1059"/>
      <c r="D2" s="1059"/>
      <c r="E2" s="1059"/>
      <c r="F2" s="1059"/>
      <c r="G2" s="1059"/>
      <c r="H2" s="1059"/>
      <c r="I2" s="1059"/>
      <c r="J2" s="516"/>
      <c r="K2" s="516"/>
      <c r="L2" s="516"/>
    </row>
    <row r="3" spans="1:12" ht="21">
      <c r="A3" s="516"/>
      <c r="B3" s="516"/>
      <c r="C3" s="516"/>
      <c r="D3" s="331"/>
      <c r="E3" s="516"/>
      <c r="F3" s="516"/>
      <c r="G3" s="516"/>
      <c r="H3" s="516"/>
      <c r="I3" s="516"/>
      <c r="J3" s="516"/>
      <c r="K3" s="516"/>
      <c r="L3" s="516"/>
    </row>
    <row r="4" spans="1:12" ht="27.75" customHeight="1">
      <c r="A4" s="332"/>
      <c r="B4" s="373" t="s">
        <v>116</v>
      </c>
      <c r="C4" s="379" t="s">
        <v>117</v>
      </c>
      <c r="D4" s="380" t="s">
        <v>118</v>
      </c>
      <c r="E4" s="619" t="s">
        <v>119</v>
      </c>
      <c r="F4" s="620"/>
      <c r="G4" s="378" t="s">
        <v>31</v>
      </c>
      <c r="H4" s="621" t="s">
        <v>120</v>
      </c>
      <c r="I4" s="622"/>
      <c r="J4" s="332"/>
      <c r="K4" s="516"/>
      <c r="L4" s="516"/>
    </row>
    <row r="5" spans="1:12" ht="18" customHeight="1">
      <c r="A5" s="332"/>
      <c r="B5" s="374" t="s">
        <v>116</v>
      </c>
      <c r="C5" s="381" t="s">
        <v>121</v>
      </c>
      <c r="D5" s="382" t="s">
        <v>118</v>
      </c>
      <c r="E5" s="623" t="s">
        <v>113</v>
      </c>
      <c r="F5" s="624"/>
      <c r="G5" s="1060" t="s">
        <v>116</v>
      </c>
      <c r="H5" s="1061" t="s">
        <v>116</v>
      </c>
      <c r="I5" s="1062"/>
      <c r="J5" s="333"/>
      <c r="K5" s="516"/>
      <c r="L5" s="516"/>
    </row>
    <row r="6" spans="1:12" ht="23.25" customHeight="1">
      <c r="A6" s="332"/>
      <c r="B6" s="374" t="s">
        <v>116</v>
      </c>
      <c r="C6" s="381" t="s">
        <v>122</v>
      </c>
      <c r="D6" s="382" t="s">
        <v>118</v>
      </c>
      <c r="E6" s="625">
        <v>45898</v>
      </c>
      <c r="F6" s="626"/>
      <c r="G6" s="1063"/>
      <c r="H6" s="1064"/>
      <c r="I6" s="1065"/>
      <c r="J6" s="332"/>
      <c r="K6" s="516"/>
      <c r="L6" s="516"/>
    </row>
    <row r="7" spans="1:12" ht="23.25" customHeight="1">
      <c r="A7" s="332"/>
      <c r="B7" s="374" t="s">
        <v>116</v>
      </c>
      <c r="C7" s="381" t="s">
        <v>123</v>
      </c>
      <c r="D7" s="382" t="s">
        <v>118</v>
      </c>
      <c r="E7" s="627" t="s">
        <v>124</v>
      </c>
      <c r="F7" s="628"/>
      <c r="G7" s="1063"/>
      <c r="H7" s="1064"/>
      <c r="I7" s="1065"/>
      <c r="J7" s="332"/>
      <c r="K7" s="516"/>
      <c r="L7" s="516"/>
    </row>
    <row r="8" spans="1:12" ht="24.75" customHeight="1">
      <c r="A8" s="332"/>
      <c r="B8" s="375" t="s">
        <v>116</v>
      </c>
      <c r="C8" s="383" t="s">
        <v>125</v>
      </c>
      <c r="D8" s="384" t="s">
        <v>118</v>
      </c>
      <c r="E8" s="629" t="s">
        <v>126</v>
      </c>
      <c r="F8" s="630"/>
      <c r="G8" s="1066"/>
      <c r="H8" s="1067"/>
      <c r="I8" s="1068"/>
      <c r="J8" s="332"/>
      <c r="K8" s="516"/>
      <c r="L8" s="516"/>
    </row>
    <row r="9" spans="1:12" ht="21">
      <c r="A9" s="516"/>
      <c r="B9" s="516"/>
      <c r="C9" s="516"/>
      <c r="D9" s="331"/>
      <c r="E9" s="516"/>
      <c r="F9" s="516"/>
      <c r="G9" s="516"/>
      <c r="H9" s="516"/>
      <c r="I9" s="516"/>
      <c r="J9" s="516"/>
      <c r="K9" s="516"/>
      <c r="L9" s="516"/>
    </row>
    <row r="10" spans="1:12" ht="33" customHeight="1">
      <c r="A10" s="516"/>
      <c r="B10" s="516"/>
      <c r="C10" s="516"/>
      <c r="D10" s="331"/>
      <c r="E10" s="516"/>
      <c r="F10" s="680" t="s">
        <v>127</v>
      </c>
      <c r="G10" s="681"/>
      <c r="H10" s="681"/>
      <c r="I10" s="682"/>
      <c r="J10" s="516"/>
      <c r="K10" s="516"/>
      <c r="L10" s="516"/>
    </row>
    <row r="11" spans="1:12" ht="31.5" customHeight="1">
      <c r="A11" s="334"/>
      <c r="B11" s="334"/>
      <c r="C11" s="334"/>
      <c r="D11" s="376" t="s">
        <v>42</v>
      </c>
      <c r="E11" s="377" t="s">
        <v>43</v>
      </c>
      <c r="F11" s="631" t="s">
        <v>44</v>
      </c>
      <c r="G11" s="683"/>
      <c r="H11" s="632" t="s">
        <v>45</v>
      </c>
      <c r="I11" s="633"/>
      <c r="J11" s="334"/>
      <c r="K11" s="342"/>
      <c r="L11" s="342"/>
    </row>
    <row r="12" spans="1:12" s="2" customFormat="1" ht="76.5" customHeight="1">
      <c r="A12" s="517"/>
      <c r="B12" s="360" t="s">
        <v>48</v>
      </c>
      <c r="C12" s="386" t="s">
        <v>128</v>
      </c>
      <c r="D12" s="367">
        <v>0.25</v>
      </c>
      <c r="E12" s="368">
        <f>'Technical Evaluation'!I18</f>
        <v>0</v>
      </c>
      <c r="F12" s="684"/>
      <c r="G12" s="685"/>
      <c r="H12" s="684"/>
      <c r="I12" s="686"/>
      <c r="J12" s="517"/>
      <c r="K12" s="361"/>
      <c r="L12" s="361"/>
    </row>
    <row r="13" spans="1:12" s="2" customFormat="1" ht="76.5" customHeight="1">
      <c r="A13" s="517"/>
      <c r="B13" s="362" t="s">
        <v>52</v>
      </c>
      <c r="C13" s="387" t="s">
        <v>129</v>
      </c>
      <c r="D13" s="367">
        <f>'Technical Evaluation'!I21</f>
        <v>0</v>
      </c>
      <c r="E13" s="369">
        <v>0</v>
      </c>
      <c r="F13" s="677"/>
      <c r="G13" s="678"/>
      <c r="H13" s="677"/>
      <c r="I13" s="679"/>
      <c r="J13" s="517"/>
      <c r="K13" s="363"/>
      <c r="L13" s="363"/>
    </row>
    <row r="14" spans="1:12" s="2" customFormat="1" ht="76.5" customHeight="1">
      <c r="A14" s="517"/>
      <c r="B14" s="362" t="s">
        <v>56</v>
      </c>
      <c r="C14" s="387" t="s">
        <v>130</v>
      </c>
      <c r="D14" s="367">
        <v>0.15</v>
      </c>
      <c r="E14" s="369">
        <f>'Technical Evaluation'!I24</f>
        <v>0</v>
      </c>
      <c r="F14" s="677"/>
      <c r="G14" s="678"/>
      <c r="H14" s="677"/>
      <c r="I14" s="679"/>
      <c r="J14" s="517"/>
      <c r="K14" s="363"/>
      <c r="L14" s="363"/>
    </row>
    <row r="15" spans="1:12" s="2" customFormat="1" ht="76.5" customHeight="1">
      <c r="A15" s="517"/>
      <c r="B15" s="362" t="s">
        <v>22</v>
      </c>
      <c r="C15" s="388" t="s">
        <v>131</v>
      </c>
      <c r="D15" s="367">
        <v>0.15</v>
      </c>
      <c r="E15" s="369">
        <f>'Technical Evaluation'!I28</f>
        <v>0</v>
      </c>
      <c r="F15" s="677"/>
      <c r="G15" s="678"/>
      <c r="H15" s="677"/>
      <c r="I15" s="679"/>
      <c r="J15" s="517"/>
      <c r="K15" s="517"/>
      <c r="L15" s="517"/>
    </row>
    <row r="16" spans="1:12" s="2" customFormat="1" ht="76.5" customHeight="1">
      <c r="A16" s="517"/>
      <c r="B16" s="362" t="s">
        <v>25</v>
      </c>
      <c r="C16" s="388" t="s">
        <v>132</v>
      </c>
      <c r="D16" s="367">
        <v>0.05</v>
      </c>
      <c r="E16" s="369">
        <f>'Technical Evaluation'!I31</f>
        <v>0</v>
      </c>
      <c r="F16" s="677"/>
      <c r="G16" s="678"/>
      <c r="H16" s="677"/>
      <c r="I16" s="679"/>
      <c r="J16" s="517"/>
      <c r="K16" s="517"/>
      <c r="L16" s="517"/>
    </row>
    <row r="17" spans="1:12" s="2" customFormat="1" ht="76.5" customHeight="1">
      <c r="A17" s="517"/>
      <c r="B17" s="362" t="s">
        <v>133</v>
      </c>
      <c r="C17" s="387" t="s">
        <v>134</v>
      </c>
      <c r="D17" s="367">
        <v>0.05</v>
      </c>
      <c r="E17" s="369">
        <f>'Technical Evaluation'!I35</f>
        <v>0</v>
      </c>
      <c r="F17" s="677" t="s">
        <v>116</v>
      </c>
      <c r="G17" s="687"/>
      <c r="H17" s="677" t="s">
        <v>116</v>
      </c>
      <c r="I17" s="679"/>
      <c r="J17" s="517"/>
      <c r="K17" s="517"/>
      <c r="L17" s="517"/>
    </row>
    <row r="18" spans="1:12" s="2" customFormat="1" ht="76.5" customHeight="1">
      <c r="A18" s="517"/>
      <c r="B18" s="364" t="s">
        <v>135</v>
      </c>
      <c r="C18" s="389" t="s">
        <v>136</v>
      </c>
      <c r="D18" s="370">
        <v>0.15</v>
      </c>
      <c r="E18" s="371">
        <f>'Technical Evaluation'!I40</f>
        <v>0</v>
      </c>
      <c r="F18" s="688" t="s">
        <v>116</v>
      </c>
      <c r="G18" s="689"/>
      <c r="H18" s="688" t="s">
        <v>116</v>
      </c>
      <c r="I18" s="690"/>
      <c r="J18" s="517"/>
      <c r="K18" s="365"/>
      <c r="L18" s="365"/>
    </row>
    <row r="19" spans="1:12" ht="15.6">
      <c r="A19" s="516"/>
      <c r="B19" s="516"/>
      <c r="C19" s="516"/>
      <c r="D19" s="385">
        <v>1</v>
      </c>
      <c r="E19" s="385">
        <f>SUM(E12:E16)</f>
        <v>0</v>
      </c>
      <c r="F19" s="519">
        <f>E17+E18</f>
        <v>0</v>
      </c>
      <c r="G19" s="520"/>
      <c r="H19" s="516"/>
      <c r="I19" s="516"/>
      <c r="J19" s="516"/>
      <c r="K19" s="515"/>
      <c r="L19" s="515"/>
    </row>
    <row r="20" spans="1:12" ht="21">
      <c r="A20" s="516"/>
      <c r="B20" s="516"/>
      <c r="C20" s="516"/>
      <c r="D20" s="331"/>
      <c r="E20" s="516"/>
      <c r="F20" s="516"/>
      <c r="G20" s="516"/>
      <c r="H20" s="516"/>
      <c r="I20" s="516"/>
      <c r="J20" s="516"/>
      <c r="K20" s="516"/>
      <c r="L20" s="516"/>
    </row>
    <row r="21" spans="1:12" ht="19.5" customHeight="1">
      <c r="A21" s="335"/>
      <c r="B21" s="646" t="s">
        <v>137</v>
      </c>
      <c r="C21" s="646"/>
      <c r="D21" s="646"/>
      <c r="E21" s="646"/>
      <c r="F21" s="646"/>
      <c r="G21" s="646"/>
      <c r="H21" s="646"/>
      <c r="I21" s="646"/>
      <c r="J21" s="335"/>
      <c r="K21" s="341"/>
      <c r="L21" s="341"/>
    </row>
    <row r="22" spans="1:12" ht="15" customHeight="1">
      <c r="A22" s="335"/>
      <c r="B22" s="646"/>
      <c r="C22" s="646"/>
      <c r="D22" s="646"/>
      <c r="E22" s="646"/>
      <c r="F22" s="646"/>
      <c r="G22" s="646"/>
      <c r="H22" s="646"/>
      <c r="I22" s="646"/>
      <c r="J22" s="335"/>
      <c r="K22" s="341"/>
      <c r="L22" s="341"/>
    </row>
    <row r="23" spans="1:12" ht="32.25" customHeight="1">
      <c r="A23" s="335"/>
      <c r="B23" s="335"/>
      <c r="C23" s="335"/>
      <c r="D23" s="336"/>
      <c r="E23" s="335"/>
      <c r="F23" s="335"/>
      <c r="G23" s="335"/>
      <c r="H23" s="335"/>
      <c r="I23" s="335"/>
      <c r="J23" s="335"/>
      <c r="K23" s="516"/>
      <c r="L23" s="516"/>
    </row>
    <row r="24" spans="1:12" ht="35.25" customHeight="1">
      <c r="A24" s="335"/>
      <c r="B24" s="335"/>
      <c r="C24" s="1069" t="s">
        <v>138</v>
      </c>
      <c r="D24" s="1069"/>
      <c r="E24" s="1069"/>
      <c r="F24" s="1069"/>
      <c r="G24" s="1069" t="s">
        <v>139</v>
      </c>
      <c r="H24" s="1069"/>
      <c r="I24" s="1069"/>
      <c r="J24" s="335"/>
      <c r="K24" s="337"/>
      <c r="L24" s="337"/>
    </row>
    <row r="25" spans="1:12" ht="39.75" customHeight="1">
      <c r="A25" s="335"/>
      <c r="B25" s="335"/>
      <c r="C25" s="404" t="s">
        <v>140</v>
      </c>
      <c r="D25" s="1070" t="s">
        <v>116</v>
      </c>
      <c r="E25" s="1070"/>
      <c r="F25" s="1070"/>
      <c r="G25" s="404" t="s">
        <v>140</v>
      </c>
      <c r="H25" s="647" t="s">
        <v>116</v>
      </c>
      <c r="I25" s="647"/>
      <c r="J25" s="335"/>
      <c r="K25" s="341"/>
      <c r="L25" s="341"/>
    </row>
    <row r="26" spans="1:12" ht="38.25" customHeight="1">
      <c r="A26" s="335"/>
      <c r="B26" s="335"/>
      <c r="C26" s="404" t="s">
        <v>141</v>
      </c>
      <c r="D26" s="1071" t="s">
        <v>116</v>
      </c>
      <c r="E26" s="1071"/>
      <c r="F26" s="1071"/>
      <c r="G26" s="404" t="s">
        <v>141</v>
      </c>
      <c r="H26" s="647" t="s">
        <v>116</v>
      </c>
      <c r="I26" s="647"/>
      <c r="J26" s="335"/>
      <c r="K26" s="516"/>
      <c r="L26" s="516"/>
    </row>
    <row r="27" spans="1:12" ht="38.25" customHeight="1">
      <c r="A27" s="335"/>
      <c r="B27" s="335"/>
      <c r="C27" s="404" t="s">
        <v>142</v>
      </c>
      <c r="D27" s="1071" t="s">
        <v>116</v>
      </c>
      <c r="E27" s="1071"/>
      <c r="F27" s="1071"/>
      <c r="G27" s="404" t="s">
        <v>142</v>
      </c>
      <c r="H27" s="647" t="s">
        <v>116</v>
      </c>
      <c r="I27" s="647"/>
      <c r="J27" s="335"/>
      <c r="K27" s="516"/>
      <c r="L27" s="516"/>
    </row>
    <row r="28" spans="1:12" ht="21.6">
      <c r="A28" s="516"/>
      <c r="B28" s="516"/>
      <c r="C28" s="516"/>
      <c r="D28" s="331"/>
      <c r="E28" s="516"/>
      <c r="F28" s="516"/>
      <c r="G28" s="521"/>
      <c r="H28" s="516"/>
      <c r="I28" s="516"/>
      <c r="J28" s="516"/>
      <c r="K28" s="341"/>
      <c r="L28" s="341"/>
    </row>
  </sheetData>
  <mergeCells count="35">
    <mergeCell ref="H25:I25"/>
    <mergeCell ref="H26:I26"/>
    <mergeCell ref="H27:I27"/>
    <mergeCell ref="D25:F25"/>
    <mergeCell ref="D26:F26"/>
    <mergeCell ref="D27:F27"/>
    <mergeCell ref="C24:F24"/>
    <mergeCell ref="G24:I24"/>
    <mergeCell ref="F14:G14"/>
    <mergeCell ref="H14:I14"/>
    <mergeCell ref="F15:G15"/>
    <mergeCell ref="H15:I15"/>
    <mergeCell ref="F16:G16"/>
    <mergeCell ref="H16:I16"/>
    <mergeCell ref="F17:G17"/>
    <mergeCell ref="H17:I17"/>
    <mergeCell ref="F18:G18"/>
    <mergeCell ref="H18:I18"/>
    <mergeCell ref="B21:I22"/>
    <mergeCell ref="F13:G13"/>
    <mergeCell ref="H13:I13"/>
    <mergeCell ref="B2:I2"/>
    <mergeCell ref="E4:F4"/>
    <mergeCell ref="H4:I4"/>
    <mergeCell ref="E5:F5"/>
    <mergeCell ref="G5:G8"/>
    <mergeCell ref="H5:I8"/>
    <mergeCell ref="E6:F6"/>
    <mergeCell ref="E7:F7"/>
    <mergeCell ref="E8:F8"/>
    <mergeCell ref="F10:I10"/>
    <mergeCell ref="F11:G11"/>
    <mergeCell ref="H11:I11"/>
    <mergeCell ref="F12:G12"/>
    <mergeCell ref="H12:I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E9C5-4F8E-4422-B128-5F3D3741E9B3}">
  <sheetPr>
    <tabColor theme="1" tint="0.499984740745262"/>
  </sheetPr>
  <dimension ref="A2:N48"/>
  <sheetViews>
    <sheetView topLeftCell="A31" workbookViewId="0">
      <pane xSplit="3" topLeftCell="D27" activePane="topRight" state="frozen"/>
      <selection pane="topRight" activeCell="H30" sqref="H30"/>
    </sheetView>
  </sheetViews>
  <sheetFormatPr defaultColWidth="10.5703125" defaultRowHeight="13.9" outlineLevelRow="1"/>
  <cols>
    <col min="1" max="1" width="1.42578125" style="223" customWidth="1"/>
    <col min="2" max="2" width="12.28515625" style="243" customWidth="1"/>
    <col min="3" max="3" width="50.5703125" style="243" customWidth="1"/>
    <col min="4" max="4" width="53.42578125" style="265" customWidth="1"/>
    <col min="5" max="5" width="53.42578125" style="243" customWidth="1"/>
    <col min="6" max="6" width="55.7109375" style="266" customWidth="1"/>
    <col min="7" max="8" width="21" style="268" customWidth="1"/>
    <col min="9" max="9" width="21" style="224" customWidth="1"/>
    <col min="10" max="10" width="3.7109375" style="223" customWidth="1"/>
    <col min="11" max="11" width="9.140625" style="223"/>
    <col min="12" max="12" width="61" style="223" customWidth="1"/>
    <col min="13" max="13" width="20.28515625" style="223" customWidth="1"/>
    <col min="14" max="16384" width="10.5703125" style="223"/>
  </cols>
  <sheetData>
    <row r="2" spans="2:13" ht="21">
      <c r="B2" s="1072" t="s">
        <v>161</v>
      </c>
      <c r="C2" s="1073"/>
      <c r="D2" s="1073"/>
      <c r="E2" s="1073"/>
      <c r="F2" s="1073"/>
      <c r="G2" s="1073"/>
      <c r="H2" s="1073"/>
      <c r="I2" s="1074"/>
    </row>
    <row r="3" spans="2:13" ht="15" customHeight="1">
      <c r="B3" s="522" t="s">
        <v>116</v>
      </c>
      <c r="C3" s="523" t="s">
        <v>116</v>
      </c>
      <c r="D3" s="524" t="s">
        <v>116</v>
      </c>
      <c r="E3" s="523" t="s">
        <v>116</v>
      </c>
      <c r="F3" s="523" t="s">
        <v>116</v>
      </c>
      <c r="G3" s="525" t="s">
        <v>116</v>
      </c>
      <c r="H3" s="693" t="s">
        <v>162</v>
      </c>
      <c r="I3" s="694"/>
    </row>
    <row r="4" spans="2:13" ht="15" customHeight="1">
      <c r="B4" s="526" t="s">
        <v>116</v>
      </c>
      <c r="C4" s="516"/>
      <c r="D4" s="527"/>
      <c r="E4" s="516"/>
      <c r="F4" s="516"/>
      <c r="G4" s="528" t="s">
        <v>116</v>
      </c>
      <c r="H4" s="695"/>
      <c r="I4" s="696"/>
    </row>
    <row r="5" spans="2:13" ht="15.75" customHeight="1">
      <c r="B5" s="529" t="s">
        <v>116</v>
      </c>
      <c r="C5" s="479" t="s">
        <v>163</v>
      </c>
      <c r="D5" s="338" t="s">
        <v>164</v>
      </c>
      <c r="E5" s="479" t="s">
        <v>165</v>
      </c>
      <c r="F5" s="339" t="s">
        <v>119</v>
      </c>
      <c r="G5" s="528" t="s">
        <v>116</v>
      </c>
      <c r="H5" s="697">
        <f>+I18+I21+I24+I28+I31+I35+I40</f>
        <v>0</v>
      </c>
      <c r="I5" s="698"/>
    </row>
    <row r="6" spans="2:13" ht="15.75" customHeight="1">
      <c r="B6" s="529" t="s">
        <v>116</v>
      </c>
      <c r="C6" s="479" t="s">
        <v>166</v>
      </c>
      <c r="D6" s="480">
        <v>45898</v>
      </c>
      <c r="E6" s="479" t="s">
        <v>123</v>
      </c>
      <c r="F6" s="339" t="s">
        <v>167</v>
      </c>
      <c r="G6" s="528" t="s">
        <v>116</v>
      </c>
      <c r="H6" s="699"/>
      <c r="I6" s="698"/>
    </row>
    <row r="7" spans="2:13" ht="15.75" customHeight="1">
      <c r="B7" s="529" t="s">
        <v>116</v>
      </c>
      <c r="C7" s="479" t="s">
        <v>168</v>
      </c>
      <c r="D7" s="338" t="s">
        <v>169</v>
      </c>
      <c r="E7" s="479" t="s">
        <v>170</v>
      </c>
      <c r="F7" s="481">
        <v>46063</v>
      </c>
      <c r="G7" s="528" t="s">
        <v>116</v>
      </c>
      <c r="H7" s="699"/>
      <c r="I7" s="698"/>
    </row>
    <row r="8" spans="2:13" ht="15.75" customHeight="1">
      <c r="B8" s="530" t="s">
        <v>116</v>
      </c>
      <c r="C8" s="479" t="s">
        <v>171</v>
      </c>
      <c r="D8" s="340" t="s">
        <v>126</v>
      </c>
      <c r="E8" s="479"/>
      <c r="F8" s="341"/>
      <c r="G8" s="528" t="s">
        <v>116</v>
      </c>
      <c r="H8" s="699"/>
      <c r="I8" s="698"/>
    </row>
    <row r="9" spans="2:13" ht="15" customHeight="1">
      <c r="B9" s="702" t="s">
        <v>116</v>
      </c>
      <c r="C9" s="703"/>
      <c r="D9" s="531" t="s">
        <v>116</v>
      </c>
      <c r="E9" s="532" t="s">
        <v>116</v>
      </c>
      <c r="F9" s="533" t="s">
        <v>116</v>
      </c>
      <c r="G9" s="534" t="s">
        <v>116</v>
      </c>
      <c r="H9" s="700"/>
      <c r="I9" s="701"/>
    </row>
    <row r="10" spans="2:13" ht="15" customHeight="1">
      <c r="E10" s="267"/>
    </row>
    <row r="11" spans="2:13" s="408" customFormat="1" ht="42">
      <c r="B11" s="409" t="s">
        <v>172</v>
      </c>
      <c r="C11" s="410" t="s">
        <v>156</v>
      </c>
      <c r="D11" s="411" t="s">
        <v>173</v>
      </c>
      <c r="E11" s="410" t="s">
        <v>174</v>
      </c>
      <c r="F11" s="412" t="s">
        <v>175</v>
      </c>
      <c r="G11" s="421" t="s">
        <v>176</v>
      </c>
      <c r="H11" s="422" t="s">
        <v>177</v>
      </c>
      <c r="I11" s="423" t="s">
        <v>178</v>
      </c>
    </row>
    <row r="12" spans="2:13" s="269" customFormat="1" ht="21">
      <c r="B12" s="1075" t="s">
        <v>179</v>
      </c>
      <c r="C12" s="1076"/>
      <c r="D12" s="1076"/>
      <c r="E12" s="1076"/>
      <c r="F12" s="1077"/>
      <c r="G12" s="424">
        <v>1</v>
      </c>
      <c r="H12" s="425">
        <v>5</v>
      </c>
      <c r="I12" s="426">
        <v>0.74</v>
      </c>
    </row>
    <row r="13" spans="2:13" s="270" customFormat="1" ht="15" customHeight="1">
      <c r="B13" s="704" t="s">
        <v>48</v>
      </c>
      <c r="C13" s="1078" t="s">
        <v>180</v>
      </c>
      <c r="D13" s="1078"/>
      <c r="E13" s="1078"/>
      <c r="F13" s="1079"/>
      <c r="G13" s="706" t="s">
        <v>42</v>
      </c>
      <c r="H13" s="708" t="s">
        <v>43</v>
      </c>
      <c r="I13" s="710" t="s">
        <v>181</v>
      </c>
    </row>
    <row r="14" spans="2:13" s="270" customFormat="1" ht="15" customHeight="1">
      <c r="B14" s="705"/>
      <c r="C14" s="1080"/>
      <c r="D14" s="1080"/>
      <c r="E14" s="1080"/>
      <c r="F14" s="1081"/>
      <c r="G14" s="707"/>
      <c r="H14" s="709"/>
      <c r="I14" s="711"/>
    </row>
    <row r="15" spans="2:13" s="243" customFormat="1" ht="39" customHeight="1" outlineLevel="1">
      <c r="B15" s="535">
        <v>1</v>
      </c>
      <c r="C15" s="462" t="s">
        <v>182</v>
      </c>
      <c r="D15" s="468" t="s">
        <v>183</v>
      </c>
      <c r="E15" s="468" t="s">
        <v>184</v>
      </c>
      <c r="F15" s="477" t="s">
        <v>185</v>
      </c>
      <c r="G15" s="427">
        <v>0.1</v>
      </c>
      <c r="H15" s="428"/>
      <c r="I15" s="490">
        <f>(H15/$H$12)*G15</f>
        <v>0</v>
      </c>
      <c r="L15" s="265"/>
      <c r="M15" s="265"/>
    </row>
    <row r="16" spans="2:13" s="243" customFormat="1" ht="60.75" customHeight="1" outlineLevel="1">
      <c r="B16" s="535">
        <v>2</v>
      </c>
      <c r="C16" s="462" t="s">
        <v>186</v>
      </c>
      <c r="D16" s="468" t="s">
        <v>187</v>
      </c>
      <c r="E16" s="478" t="s">
        <v>188</v>
      </c>
      <c r="F16" s="477" t="s">
        <v>189</v>
      </c>
      <c r="G16" s="429">
        <v>0.08</v>
      </c>
      <c r="H16" s="428"/>
      <c r="I16" s="490">
        <f>(H16/$H$12)*G16</f>
        <v>0</v>
      </c>
      <c r="L16" s="265"/>
      <c r="M16" s="265"/>
    </row>
    <row r="17" spans="1:14" s="243" customFormat="1" ht="57.75" customHeight="1" outlineLevel="1">
      <c r="B17" s="535">
        <v>3</v>
      </c>
      <c r="C17" s="462" t="s">
        <v>190</v>
      </c>
      <c r="D17" s="468" t="s">
        <v>191</v>
      </c>
      <c r="E17" s="478" t="s">
        <v>192</v>
      </c>
      <c r="F17" s="477" t="s">
        <v>193</v>
      </c>
      <c r="G17" s="429">
        <v>7.0000000000000007E-2</v>
      </c>
      <c r="H17" s="428"/>
      <c r="I17" s="490">
        <f>(H17/$H$12)*G17</f>
        <v>0</v>
      </c>
      <c r="L17" s="265"/>
      <c r="M17" s="265"/>
    </row>
    <row r="18" spans="1:14" ht="39" customHeight="1" outlineLevel="1">
      <c r="B18" s="413" t="s">
        <v>116</v>
      </c>
      <c r="C18" s="343" t="s">
        <v>116</v>
      </c>
      <c r="D18" s="344" t="s">
        <v>116</v>
      </c>
      <c r="E18" s="344" t="s">
        <v>116</v>
      </c>
      <c r="F18" s="345" t="s">
        <v>194</v>
      </c>
      <c r="G18" s="430">
        <f>+G15+G16+G17</f>
        <v>0.25</v>
      </c>
      <c r="H18" s="431">
        <f>+H15+H16+H17</f>
        <v>0</v>
      </c>
      <c r="I18" s="432">
        <f>SUM(I15:I17)</f>
        <v>0</v>
      </c>
      <c r="L18" s="271"/>
      <c r="M18" s="271"/>
    </row>
    <row r="19" spans="1:14" s="243" customFormat="1" ht="39" customHeight="1" outlineLevel="1">
      <c r="B19" s="414" t="s">
        <v>52</v>
      </c>
      <c r="C19" s="475" t="s">
        <v>195</v>
      </c>
      <c r="D19" s="475" t="s">
        <v>116</v>
      </c>
      <c r="E19" s="475" t="s">
        <v>116</v>
      </c>
      <c r="F19" s="476" t="s">
        <v>116</v>
      </c>
      <c r="G19" s="433" t="s">
        <v>42</v>
      </c>
      <c r="H19" s="433" t="s">
        <v>43</v>
      </c>
      <c r="I19" s="434" t="s">
        <v>181</v>
      </c>
      <c r="L19" s="265"/>
      <c r="M19" s="265"/>
    </row>
    <row r="20" spans="1:14" s="243" customFormat="1" ht="80.25" customHeight="1" outlineLevel="1">
      <c r="B20" s="536">
        <v>9</v>
      </c>
      <c r="C20" s="471" t="s">
        <v>196</v>
      </c>
      <c r="D20" s="471" t="s">
        <v>197</v>
      </c>
      <c r="E20" s="466" t="s">
        <v>198</v>
      </c>
      <c r="F20" s="471" t="s">
        <v>199</v>
      </c>
      <c r="G20" s="435">
        <v>0.2</v>
      </c>
      <c r="H20" s="436"/>
      <c r="I20" s="490">
        <f>(H20/$H$12)*G20</f>
        <v>0</v>
      </c>
      <c r="L20" s="265"/>
      <c r="M20" s="265"/>
    </row>
    <row r="21" spans="1:14" s="461" customFormat="1" ht="33.75" customHeight="1">
      <c r="B21" s="415" t="s">
        <v>116</v>
      </c>
      <c r="C21" s="472" t="s">
        <v>116</v>
      </c>
      <c r="D21" s="473" t="s">
        <v>116</v>
      </c>
      <c r="E21" s="473" t="s">
        <v>116</v>
      </c>
      <c r="F21" s="474" t="s">
        <v>194</v>
      </c>
      <c r="G21" s="437">
        <f>G20</f>
        <v>0.2</v>
      </c>
      <c r="H21" s="438">
        <f>H20</f>
        <v>0</v>
      </c>
      <c r="I21" s="439">
        <f>I20</f>
        <v>0</v>
      </c>
    </row>
    <row r="22" spans="1:14" s="231" customFormat="1" ht="37.5" customHeight="1">
      <c r="B22" s="414" t="s">
        <v>56</v>
      </c>
      <c r="C22" s="712" t="s">
        <v>200</v>
      </c>
      <c r="D22" s="712"/>
      <c r="E22" s="712"/>
      <c r="F22" s="713"/>
      <c r="G22" s="440" t="s">
        <v>42</v>
      </c>
      <c r="H22" s="440" t="s">
        <v>43</v>
      </c>
      <c r="I22" s="441" t="s">
        <v>181</v>
      </c>
    </row>
    <row r="23" spans="1:14" s="243" customFormat="1" ht="47.25" customHeight="1">
      <c r="B23" s="416">
        <v>10</v>
      </c>
      <c r="C23" s="471" t="s">
        <v>201</v>
      </c>
      <c r="D23" s="471" t="s">
        <v>202</v>
      </c>
      <c r="E23" s="466" t="s">
        <v>203</v>
      </c>
      <c r="F23" s="471" t="s">
        <v>204</v>
      </c>
      <c r="G23" s="435">
        <v>0.15</v>
      </c>
      <c r="H23" s="436"/>
      <c r="I23" s="490">
        <f>(H23/$H$12)*G23</f>
        <v>0</v>
      </c>
      <c r="L23" s="265"/>
    </row>
    <row r="24" spans="1:14" ht="36.75" customHeight="1">
      <c r="B24" s="417" t="s">
        <v>116</v>
      </c>
      <c r="C24" s="346" t="s">
        <v>116</v>
      </c>
      <c r="D24" s="348" t="s">
        <v>116</v>
      </c>
      <c r="E24" s="348" t="s">
        <v>116</v>
      </c>
      <c r="F24" s="349" t="s">
        <v>194</v>
      </c>
      <c r="G24" s="442">
        <f>G23</f>
        <v>0.15</v>
      </c>
      <c r="H24" s="443">
        <f>H23</f>
        <v>0</v>
      </c>
      <c r="I24" s="444">
        <f>I23</f>
        <v>0</v>
      </c>
    </row>
    <row r="25" spans="1:14" s="243" customFormat="1" ht="47.25" customHeight="1">
      <c r="B25" s="414" t="s">
        <v>22</v>
      </c>
      <c r="C25" s="712" t="s">
        <v>205</v>
      </c>
      <c r="D25" s="712"/>
      <c r="E25" s="712"/>
      <c r="F25" s="713"/>
      <c r="G25" s="433" t="s">
        <v>42</v>
      </c>
      <c r="H25" s="433" t="s">
        <v>43</v>
      </c>
      <c r="I25" s="441" t="s">
        <v>181</v>
      </c>
      <c r="L25" s="265"/>
    </row>
    <row r="26" spans="1:14" s="461" customFormat="1" ht="96.6">
      <c r="B26" s="535">
        <v>11</v>
      </c>
      <c r="C26" s="462" t="s">
        <v>206</v>
      </c>
      <c r="D26" s="468" t="s">
        <v>207</v>
      </c>
      <c r="E26" s="470" t="s">
        <v>208</v>
      </c>
      <c r="F26" s="468" t="s">
        <v>209</v>
      </c>
      <c r="G26" s="445">
        <v>0.08</v>
      </c>
      <c r="H26" s="446"/>
      <c r="I26" s="490">
        <f>(H26/$H$12)*G26</f>
        <v>0</v>
      </c>
    </row>
    <row r="27" spans="1:14" s="461" customFormat="1" ht="96.6">
      <c r="B27" s="535">
        <v>12</v>
      </c>
      <c r="C27" s="462" t="s">
        <v>210</v>
      </c>
      <c r="D27" s="468" t="s">
        <v>211</v>
      </c>
      <c r="E27" s="469" t="s">
        <v>208</v>
      </c>
      <c r="F27" s="468" t="s">
        <v>212</v>
      </c>
      <c r="G27" s="445">
        <v>7.0000000000000007E-2</v>
      </c>
      <c r="H27" s="446"/>
      <c r="I27" s="490">
        <f>(H27/$H$12)*G27</f>
        <v>0</v>
      </c>
    </row>
    <row r="28" spans="1:14" s="256" customFormat="1" ht="36" customHeight="1">
      <c r="B28" s="418" t="s">
        <v>116</v>
      </c>
      <c r="C28" s="350" t="s">
        <v>116</v>
      </c>
      <c r="D28" s="345" t="s">
        <v>116</v>
      </c>
      <c r="E28" s="350" t="s">
        <v>116</v>
      </c>
      <c r="F28" s="345" t="s">
        <v>194</v>
      </c>
      <c r="G28" s="430">
        <f>G26+G27</f>
        <v>0.15000000000000002</v>
      </c>
      <c r="H28" s="431">
        <f>+H26+H27</f>
        <v>0</v>
      </c>
      <c r="I28" s="432">
        <f>+I26+I27</f>
        <v>0</v>
      </c>
    </row>
    <row r="29" spans="1:14" ht="33" customHeight="1">
      <c r="B29" s="414" t="s">
        <v>25</v>
      </c>
      <c r="C29" s="1082" t="s">
        <v>213</v>
      </c>
      <c r="D29" s="1082"/>
      <c r="E29" s="1082"/>
      <c r="F29" s="1083"/>
      <c r="G29" s="433" t="s">
        <v>42</v>
      </c>
      <c r="H29" s="433" t="s">
        <v>43</v>
      </c>
      <c r="I29" s="434" t="s">
        <v>181</v>
      </c>
    </row>
    <row r="30" spans="1:14" s="467" customFormat="1" ht="96.6">
      <c r="A30" s="461"/>
      <c r="B30" s="536">
        <v>14</v>
      </c>
      <c r="C30" s="537" t="s">
        <v>214</v>
      </c>
      <c r="D30" s="538" t="s">
        <v>215</v>
      </c>
      <c r="E30" s="466" t="s">
        <v>216</v>
      </c>
      <c r="F30" s="465" t="s">
        <v>217</v>
      </c>
      <c r="G30" s="447">
        <v>0.05</v>
      </c>
      <c r="H30" s="436"/>
      <c r="I30" s="490">
        <f>(H30/$H$12)*G30</f>
        <v>0</v>
      </c>
      <c r="J30" s="461"/>
      <c r="K30" s="461"/>
      <c r="L30" s="461"/>
      <c r="M30" s="461"/>
      <c r="N30" s="461"/>
    </row>
    <row r="31" spans="1:14" s="256" customFormat="1" ht="18.600000000000001">
      <c r="B31" s="415" t="s">
        <v>116</v>
      </c>
      <c r="C31" s="351" t="s">
        <v>116</v>
      </c>
      <c r="D31" s="352" t="s">
        <v>116</v>
      </c>
      <c r="E31" s="352" t="s">
        <v>116</v>
      </c>
      <c r="F31" s="347" t="s">
        <v>194</v>
      </c>
      <c r="G31" s="437">
        <f>G30</f>
        <v>0.05</v>
      </c>
      <c r="H31" s="438">
        <f>H30</f>
        <v>0</v>
      </c>
      <c r="I31" s="439">
        <f>I30</f>
        <v>0</v>
      </c>
    </row>
    <row r="32" spans="1:14" ht="34.5" customHeight="1">
      <c r="B32" s="414" t="s">
        <v>133</v>
      </c>
      <c r="C32" s="1082" t="s">
        <v>218</v>
      </c>
      <c r="D32" s="1082"/>
      <c r="E32" s="1082"/>
      <c r="F32" s="1083"/>
      <c r="G32" s="440" t="s">
        <v>42</v>
      </c>
      <c r="H32" s="440" t="s">
        <v>43</v>
      </c>
      <c r="I32" s="441" t="s">
        <v>181</v>
      </c>
    </row>
    <row r="33" spans="1:14" s="461" customFormat="1" ht="41.45">
      <c r="B33" s="535">
        <v>15</v>
      </c>
      <c r="C33" s="539" t="s">
        <v>219</v>
      </c>
      <c r="D33" s="518" t="s">
        <v>220</v>
      </c>
      <c r="E33" s="462" t="s">
        <v>221</v>
      </c>
      <c r="F33" s="463" t="s">
        <v>222</v>
      </c>
      <c r="G33" s="448">
        <v>0.03</v>
      </c>
      <c r="H33" s="446"/>
      <c r="I33" s="490">
        <f>(H33/$H$12)*G33</f>
        <v>0</v>
      </c>
    </row>
    <row r="34" spans="1:14" s="461" customFormat="1" ht="41.45">
      <c r="B34" s="536">
        <v>16</v>
      </c>
      <c r="C34" s="537" t="s">
        <v>223</v>
      </c>
      <c r="D34" s="538" t="s">
        <v>224</v>
      </c>
      <c r="E34" s="464" t="s">
        <v>225</v>
      </c>
      <c r="F34" s="465" t="s">
        <v>222</v>
      </c>
      <c r="G34" s="449">
        <v>0.02</v>
      </c>
      <c r="H34" s="450"/>
      <c r="I34" s="490">
        <f>(H34/$H$12)*G34</f>
        <v>0</v>
      </c>
    </row>
    <row r="35" spans="1:14" ht="18.600000000000001">
      <c r="B35" s="419" t="s">
        <v>116</v>
      </c>
      <c r="C35" s="353" t="s">
        <v>116</v>
      </c>
      <c r="D35" s="354" t="s">
        <v>116</v>
      </c>
      <c r="E35" s="353" t="s">
        <v>116</v>
      </c>
      <c r="F35" s="355" t="s">
        <v>194</v>
      </c>
      <c r="G35" s="451">
        <f>+G33+G34</f>
        <v>0.05</v>
      </c>
      <c r="H35" s="452">
        <f>+H33+H34</f>
        <v>0</v>
      </c>
      <c r="I35" s="453">
        <f>+I33+I34</f>
        <v>0</v>
      </c>
    </row>
    <row r="36" spans="1:14" s="256" customFormat="1" ht="37.15">
      <c r="B36" s="420" t="s">
        <v>136</v>
      </c>
      <c r="C36" s="356"/>
      <c r="D36" s="357" t="s">
        <v>116</v>
      </c>
      <c r="E36" s="357" t="s">
        <v>116</v>
      </c>
      <c r="F36" s="357" t="s">
        <v>116</v>
      </c>
      <c r="G36" s="454" t="s">
        <v>42</v>
      </c>
      <c r="H36" s="455" t="s">
        <v>226</v>
      </c>
      <c r="I36" s="456" t="s">
        <v>178</v>
      </c>
    </row>
    <row r="37" spans="1:14" s="256" customFormat="1" ht="21">
      <c r="B37" s="706" t="s">
        <v>135</v>
      </c>
      <c r="C37" s="723" t="s">
        <v>227</v>
      </c>
      <c r="D37" s="724"/>
      <c r="E37" s="724"/>
      <c r="F37" s="725"/>
      <c r="G37" s="457">
        <v>0.15</v>
      </c>
      <c r="H37" s="457">
        <v>0.05</v>
      </c>
      <c r="I37" s="458">
        <v>0</v>
      </c>
    </row>
    <row r="38" spans="1:14" ht="36" customHeight="1">
      <c r="B38" s="707"/>
      <c r="C38" s="726"/>
      <c r="D38" s="727"/>
      <c r="E38" s="727"/>
      <c r="F38" s="728"/>
      <c r="G38" s="433" t="s">
        <v>42</v>
      </c>
      <c r="H38" s="433" t="s">
        <v>43</v>
      </c>
      <c r="I38" s="434" t="s">
        <v>181</v>
      </c>
    </row>
    <row r="39" spans="1:14" s="243" customFormat="1" ht="38.25" customHeight="1">
      <c r="B39" s="536">
        <v>17</v>
      </c>
      <c r="C39" s="537" t="s">
        <v>228</v>
      </c>
      <c r="D39" s="538" t="s">
        <v>116</v>
      </c>
      <c r="E39" s="540" t="s">
        <v>229</v>
      </c>
      <c r="F39" s="538" t="s">
        <v>230</v>
      </c>
      <c r="G39" s="435">
        <v>0.15</v>
      </c>
      <c r="H39" s="459"/>
      <c r="I39" s="490">
        <f>(H39/$H$12)*G39</f>
        <v>0</v>
      </c>
    </row>
    <row r="40" spans="1:14" ht="21.75" customHeight="1">
      <c r="A40" s="256"/>
      <c r="B40" s="419" t="s">
        <v>116</v>
      </c>
      <c r="C40" s="353" t="s">
        <v>116</v>
      </c>
      <c r="D40" s="354" t="s">
        <v>116</v>
      </c>
      <c r="E40" s="353" t="s">
        <v>116</v>
      </c>
      <c r="F40" s="355" t="s">
        <v>194</v>
      </c>
      <c r="G40" s="442">
        <f>G39</f>
        <v>0.15</v>
      </c>
      <c r="H40" s="443">
        <f>H39</f>
        <v>0</v>
      </c>
      <c r="I40" s="460">
        <f>I39</f>
        <v>0</v>
      </c>
      <c r="J40" s="256"/>
      <c r="K40" s="256"/>
      <c r="L40" s="256"/>
      <c r="M40" s="256"/>
      <c r="N40" s="256"/>
    </row>
    <row r="41" spans="1:14" ht="30.75" customHeight="1">
      <c r="B41" s="358"/>
      <c r="C41" s="358"/>
      <c r="D41" s="359"/>
      <c r="E41" s="358"/>
      <c r="F41" s="1084" t="s">
        <v>231</v>
      </c>
      <c r="G41" s="1084"/>
      <c r="H41" s="1084"/>
      <c r="I41" s="491"/>
    </row>
    <row r="42" spans="1:14">
      <c r="B42" s="516"/>
      <c r="C42" s="516"/>
      <c r="D42" s="527"/>
      <c r="E42" s="516" t="s">
        <v>232</v>
      </c>
      <c r="F42" s="516"/>
      <c r="G42" s="516"/>
      <c r="H42" s="516"/>
      <c r="I42" s="516"/>
    </row>
    <row r="43" spans="1:14" s="224" customFormat="1" ht="27.75" customHeight="1">
      <c r="B43" s="729" t="s">
        <v>233</v>
      </c>
      <c r="C43" s="730"/>
      <c r="D43" s="730"/>
      <c r="E43" s="730"/>
      <c r="F43" s="730"/>
      <c r="G43" s="730"/>
      <c r="H43" s="730"/>
      <c r="I43" s="731"/>
    </row>
    <row r="44" spans="1:14" s="224" customFormat="1" ht="15.75" customHeight="1">
      <c r="B44" s="732" t="s">
        <v>116</v>
      </c>
      <c r="C44" s="715"/>
      <c r="D44" s="733"/>
      <c r="E44" s="733"/>
      <c r="F44" s="734"/>
      <c r="G44" s="735" t="s">
        <v>234</v>
      </c>
      <c r="H44" s="735"/>
      <c r="I44" s="736"/>
    </row>
    <row r="45" spans="1:14" s="257" customFormat="1" ht="37.5" customHeight="1">
      <c r="B45" s="482" t="s">
        <v>116</v>
      </c>
      <c r="C45" s="483" t="s">
        <v>138</v>
      </c>
      <c r="D45" s="484" t="s">
        <v>116</v>
      </c>
      <c r="E45" s="485" t="s">
        <v>139</v>
      </c>
      <c r="F45" s="486" t="s">
        <v>116</v>
      </c>
      <c r="G45" s="714" t="s">
        <v>116</v>
      </c>
      <c r="H45" s="715"/>
      <c r="I45" s="716"/>
      <c r="K45" s="224"/>
    </row>
    <row r="46" spans="1:14" s="236" customFormat="1" ht="71.25" customHeight="1">
      <c r="B46" s="482" t="s">
        <v>116</v>
      </c>
      <c r="C46" s="483" t="s">
        <v>235</v>
      </c>
      <c r="D46" s="484" t="s">
        <v>116</v>
      </c>
      <c r="E46" s="485" t="s">
        <v>235</v>
      </c>
      <c r="F46" s="486" t="s">
        <v>116</v>
      </c>
      <c r="G46" s="717"/>
      <c r="H46" s="718"/>
      <c r="I46" s="719"/>
    </row>
    <row r="47" spans="1:14" s="224" customFormat="1" ht="55.5" customHeight="1">
      <c r="B47" s="482" t="s">
        <v>116</v>
      </c>
      <c r="C47" s="483" t="s">
        <v>144</v>
      </c>
      <c r="D47" s="484" t="s">
        <v>116</v>
      </c>
      <c r="E47" s="485" t="s">
        <v>144</v>
      </c>
      <c r="F47" s="486" t="s">
        <v>116</v>
      </c>
      <c r="G47" s="720"/>
      <c r="H47" s="721"/>
      <c r="I47" s="722"/>
    </row>
    <row r="48" spans="1:14" s="224" customFormat="1" ht="33.75" customHeight="1">
      <c r="B48" s="482" t="s">
        <v>116</v>
      </c>
      <c r="C48" s="483" t="s">
        <v>236</v>
      </c>
      <c r="D48" s="487" t="s">
        <v>116</v>
      </c>
      <c r="E48" s="488" t="s">
        <v>236</v>
      </c>
      <c r="F48" s="489" t="s">
        <v>116</v>
      </c>
      <c r="G48" s="691" t="s">
        <v>237</v>
      </c>
      <c r="H48" s="691"/>
      <c r="I48" s="692"/>
    </row>
  </sheetData>
  <mergeCells count="22">
    <mergeCell ref="G45:I47"/>
    <mergeCell ref="C37:F38"/>
    <mergeCell ref="F41:H41"/>
    <mergeCell ref="B43:I43"/>
    <mergeCell ref="B44:F44"/>
    <mergeCell ref="G44:I44"/>
    <mergeCell ref="G48:I48"/>
    <mergeCell ref="B2:I2"/>
    <mergeCell ref="H3:I4"/>
    <mergeCell ref="H5:I9"/>
    <mergeCell ref="B9:C9"/>
    <mergeCell ref="B12:F12"/>
    <mergeCell ref="B13:B14"/>
    <mergeCell ref="C13:F14"/>
    <mergeCell ref="G13:G14"/>
    <mergeCell ref="H13:H14"/>
    <mergeCell ref="I13:I14"/>
    <mergeCell ref="C22:F22"/>
    <mergeCell ref="C25:F25"/>
    <mergeCell ref="C29:F29"/>
    <mergeCell ref="C32:F32"/>
    <mergeCell ref="B37:B3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F22DE-8CAB-43E7-B781-67035F153F3A}">
  <dimension ref="B1:J28"/>
  <sheetViews>
    <sheetView topLeftCell="A6" workbookViewId="0">
      <selection activeCell="C15" sqref="C15"/>
    </sheetView>
  </sheetViews>
  <sheetFormatPr defaultColWidth="10.5703125" defaultRowHeight="23.25" customHeight="1"/>
  <cols>
    <col min="1" max="1" width="2" style="223" customWidth="1"/>
    <col min="2" max="2" width="10.5703125" style="223"/>
    <col min="3" max="3" width="46.5703125" style="224" customWidth="1"/>
    <col min="4" max="4" width="14.5703125" style="225" customWidth="1"/>
    <col min="5" max="5" width="14.42578125" style="223" customWidth="1"/>
    <col min="6" max="6" width="43.85546875" style="223" customWidth="1"/>
    <col min="7" max="7" width="21.85546875" style="223" customWidth="1"/>
    <col min="8" max="8" width="37.7109375" style="223" customWidth="1"/>
    <col min="9" max="9" width="63.42578125" style="223" customWidth="1"/>
    <col min="10" max="10" width="9.140625" style="223"/>
    <col min="11" max="11" width="46.5703125" style="223" customWidth="1"/>
    <col min="12" max="12" width="9.140625" style="223"/>
    <col min="13" max="13" width="46.5703125" style="223" customWidth="1"/>
    <col min="14" max="14" width="9.140625" style="223"/>
    <col min="15" max="15" width="46.5703125" style="223" customWidth="1"/>
    <col min="16" max="16384" width="10.5703125" style="223"/>
  </cols>
  <sheetData>
    <row r="1" spans="2:10" ht="21" customHeight="1"/>
    <row r="2" spans="2:10" ht="21" customHeight="1">
      <c r="B2" s="739" t="s">
        <v>115</v>
      </c>
      <c r="C2" s="739"/>
      <c r="D2" s="739"/>
      <c r="E2" s="739"/>
      <c r="F2" s="739"/>
      <c r="G2" s="739"/>
      <c r="H2" s="739"/>
      <c r="I2" s="739"/>
    </row>
    <row r="3" spans="2:10" ht="21" customHeight="1"/>
    <row r="4" spans="2:10" ht="13.9">
      <c r="B4" s="226"/>
      <c r="C4" s="227" t="s">
        <v>117</v>
      </c>
      <c r="D4" s="740"/>
      <c r="E4" s="740"/>
      <c r="F4" s="741"/>
      <c r="G4" s="228" t="s">
        <v>31</v>
      </c>
      <c r="H4" s="742" t="s">
        <v>120</v>
      </c>
      <c r="I4" s="743"/>
    </row>
    <row r="5" spans="2:10" ht="15" customHeight="1">
      <c r="B5" s="229"/>
      <c r="C5" s="230" t="s">
        <v>121</v>
      </c>
      <c r="D5" s="744"/>
      <c r="E5" s="744"/>
      <c r="F5" s="745"/>
      <c r="G5" s="746">
        <f ca="1">+E12+E13+E14+E15+E16+E17+E18</f>
        <v>0.46089999999999998</v>
      </c>
      <c r="H5" s="748" t="str">
        <f ca="1">VLOOKUP(G5,ratingScore!B2:E6,4,TRUE)</f>
        <v>Consistently failed to expectations.</v>
      </c>
      <c r="I5" s="749"/>
      <c r="J5" s="231"/>
    </row>
    <row r="6" spans="2:10" ht="15" customHeight="1">
      <c r="B6" s="229"/>
      <c r="C6" s="230" t="s">
        <v>122</v>
      </c>
      <c r="D6" s="752"/>
      <c r="E6" s="753"/>
      <c r="F6" s="754"/>
      <c r="G6" s="746"/>
      <c r="H6" s="748"/>
      <c r="I6" s="749"/>
    </row>
    <row r="7" spans="2:10" ht="15" customHeight="1">
      <c r="B7" s="229"/>
      <c r="C7" s="230" t="s">
        <v>123</v>
      </c>
      <c r="D7" s="744"/>
      <c r="E7" s="744"/>
      <c r="F7" s="745"/>
      <c r="G7" s="746"/>
      <c r="H7" s="748"/>
      <c r="I7" s="749"/>
    </row>
    <row r="8" spans="2:10" ht="15" customHeight="1">
      <c r="B8" s="232"/>
      <c r="C8" s="233" t="s">
        <v>125</v>
      </c>
      <c r="D8" s="755"/>
      <c r="E8" s="755"/>
      <c r="F8" s="756"/>
      <c r="G8" s="747"/>
      <c r="H8" s="750"/>
      <c r="I8" s="751"/>
    </row>
    <row r="9" spans="2:10" ht="21" customHeight="1">
      <c r="D9" s="234"/>
    </row>
    <row r="10" spans="2:10" ht="21" customHeight="1">
      <c r="F10" s="757" t="s">
        <v>127</v>
      </c>
      <c r="G10" s="758"/>
      <c r="H10" s="758"/>
      <c r="I10" s="759"/>
    </row>
    <row r="11" spans="2:10" s="235" customFormat="1" ht="18.75" customHeight="1">
      <c r="C11" s="236"/>
      <c r="D11" s="237" t="s">
        <v>42</v>
      </c>
      <c r="E11" s="238" t="s">
        <v>238</v>
      </c>
      <c r="F11" s="760" t="s">
        <v>44</v>
      </c>
      <c r="G11" s="761"/>
      <c r="H11" s="761" t="s">
        <v>45</v>
      </c>
      <c r="I11" s="762"/>
    </row>
    <row r="12" spans="2:10" s="243" customFormat="1" ht="61.5" customHeight="1">
      <c r="B12" s="239" t="s">
        <v>48</v>
      </c>
      <c r="C12" s="240" t="s">
        <v>128</v>
      </c>
      <c r="D12" s="241">
        <v>0.25</v>
      </c>
      <c r="E12" s="242">
        <f ca="1">BootCampScoreCard!O19</f>
        <v>0.23649999999999999</v>
      </c>
      <c r="F12" s="737"/>
      <c r="G12" s="738"/>
      <c r="H12" s="737"/>
      <c r="I12" s="738"/>
    </row>
    <row r="13" spans="2:10" s="243" customFormat="1" ht="36.75" customHeight="1">
      <c r="B13" s="244" t="s">
        <v>52</v>
      </c>
      <c r="C13" s="245" t="s">
        <v>129</v>
      </c>
      <c r="D13" s="246">
        <v>0.2</v>
      </c>
      <c r="E13" s="247">
        <f ca="1">BootCampScoreCard!O25</f>
        <v>0</v>
      </c>
      <c r="F13" s="737" t="s">
        <v>239</v>
      </c>
      <c r="G13" s="738"/>
      <c r="H13" s="737"/>
      <c r="I13" s="738"/>
    </row>
    <row r="14" spans="2:10" s="243" customFormat="1" ht="45.75" customHeight="1">
      <c r="B14" s="244" t="s">
        <v>56</v>
      </c>
      <c r="C14" s="245" t="s">
        <v>130</v>
      </c>
      <c r="D14" s="246">
        <v>0.15</v>
      </c>
      <c r="E14" s="247">
        <f ca="1">BootCampScoreCard!O30</f>
        <v>0</v>
      </c>
      <c r="F14" s="737"/>
      <c r="G14" s="738"/>
      <c r="H14" s="737" t="s">
        <v>240</v>
      </c>
      <c r="I14" s="738"/>
    </row>
    <row r="15" spans="2:10" s="243" customFormat="1" ht="55.5" customHeight="1">
      <c r="B15" s="244" t="s">
        <v>22</v>
      </c>
      <c r="C15" s="248" t="s">
        <v>131</v>
      </c>
      <c r="D15" s="246">
        <v>0.1</v>
      </c>
      <c r="E15" s="247">
        <f ca="1">BootCampScoreCard!O34</f>
        <v>0</v>
      </c>
      <c r="F15" s="737" t="s">
        <v>241</v>
      </c>
      <c r="G15" s="738"/>
      <c r="H15" s="737" t="s">
        <v>242</v>
      </c>
      <c r="I15" s="738"/>
    </row>
    <row r="16" spans="2:10" s="243" customFormat="1" ht="36.75" customHeight="1">
      <c r="B16" s="244" t="s">
        <v>25</v>
      </c>
      <c r="C16" s="248" t="s">
        <v>132</v>
      </c>
      <c r="D16" s="246">
        <v>0.1</v>
      </c>
      <c r="E16" s="247">
        <f ca="1">BootCampScoreCard!O38</f>
        <v>0.04</v>
      </c>
      <c r="F16" s="737"/>
      <c r="G16" s="738"/>
      <c r="H16" s="737"/>
      <c r="I16" s="738"/>
    </row>
    <row r="17" spans="2:9" s="243" customFormat="1" ht="36.75" customHeight="1">
      <c r="B17" s="244" t="s">
        <v>133</v>
      </c>
      <c r="C17" s="249" t="s">
        <v>134</v>
      </c>
      <c r="D17" s="246">
        <v>0.1</v>
      </c>
      <c r="E17" s="247">
        <f>BootCampScoreCard!O42</f>
        <v>0.1</v>
      </c>
      <c r="F17" s="737"/>
      <c r="G17" s="738"/>
      <c r="H17" s="764"/>
      <c r="I17" s="765"/>
    </row>
    <row r="18" spans="2:9" s="243" customFormat="1" ht="42.75" customHeight="1">
      <c r="B18" s="250" t="s">
        <v>135</v>
      </c>
      <c r="C18" s="251" t="s">
        <v>136</v>
      </c>
      <c r="D18" s="252">
        <v>0.1</v>
      </c>
      <c r="E18" s="253">
        <f>BootCampScoreCard!O45</f>
        <v>8.4400000000000003E-2</v>
      </c>
      <c r="F18" s="737"/>
      <c r="G18" s="738"/>
      <c r="H18" s="737"/>
      <c r="I18" s="738"/>
    </row>
    <row r="19" spans="2:9" ht="21" customHeight="1">
      <c r="D19" s="254">
        <f>SUM(D12:D18)</f>
        <v>0.99999999999999989</v>
      </c>
      <c r="E19" s="255">
        <f ca="1">SUM(E12:E18)</f>
        <v>0.46089999999999998</v>
      </c>
    </row>
    <row r="20" spans="2:9" ht="21" customHeight="1">
      <c r="D20" s="234"/>
    </row>
    <row r="21" spans="2:9" s="256" customFormat="1" ht="15.75" customHeight="1">
      <c r="B21" s="766" t="s">
        <v>243</v>
      </c>
      <c r="C21" s="766"/>
      <c r="D21" s="766"/>
      <c r="E21" s="766"/>
      <c r="F21" s="766"/>
      <c r="G21" s="766"/>
      <c r="H21" s="766"/>
      <c r="I21" s="766"/>
    </row>
    <row r="22" spans="2:9" s="256" customFormat="1" ht="15.75" customHeight="1">
      <c r="B22" s="766"/>
      <c r="C22" s="766"/>
      <c r="D22" s="766"/>
      <c r="E22" s="766"/>
      <c r="F22" s="766"/>
      <c r="G22" s="766"/>
      <c r="H22" s="766"/>
      <c r="I22" s="766"/>
    </row>
    <row r="23" spans="2:9" s="256" customFormat="1" ht="15.75" customHeight="1">
      <c r="C23" s="257"/>
      <c r="D23" s="258"/>
    </row>
    <row r="24" spans="2:9" s="256" customFormat="1" ht="15.75" customHeight="1">
      <c r="B24" s="259" t="s">
        <v>138</v>
      </c>
      <c r="C24" s="259"/>
      <c r="D24" s="259"/>
      <c r="E24" s="259"/>
      <c r="F24" s="259"/>
      <c r="G24" s="763" t="s">
        <v>139</v>
      </c>
      <c r="H24" s="763"/>
      <c r="I24" s="763"/>
    </row>
    <row r="25" spans="2:9" s="256" customFormat="1" ht="32.25" customHeight="1">
      <c r="B25" s="259" t="s">
        <v>140</v>
      </c>
      <c r="C25" s="260"/>
      <c r="D25" s="259"/>
      <c r="E25" s="259"/>
      <c r="F25" s="259"/>
      <c r="G25" s="261" t="s">
        <v>140</v>
      </c>
      <c r="H25" s="262"/>
      <c r="I25" s="262"/>
    </row>
    <row r="26" spans="2:9" s="256" customFormat="1" ht="15.75" customHeight="1">
      <c r="B26" s="259" t="s">
        <v>141</v>
      </c>
      <c r="C26" s="263"/>
      <c r="D26" s="259"/>
      <c r="E26" s="259"/>
      <c r="F26" s="259"/>
      <c r="G26" s="261" t="s">
        <v>141</v>
      </c>
      <c r="H26" s="262"/>
      <c r="I26" s="262"/>
    </row>
    <row r="27" spans="2:9" s="256" customFormat="1" ht="15.75" customHeight="1">
      <c r="B27" s="259" t="s">
        <v>142</v>
      </c>
      <c r="C27" s="263"/>
      <c r="D27" s="259"/>
      <c r="E27" s="259"/>
      <c r="F27" s="259"/>
      <c r="G27" s="261" t="s">
        <v>142</v>
      </c>
      <c r="H27" s="264"/>
      <c r="I27" s="262"/>
    </row>
    <row r="28" spans="2:9" ht="21" customHeight="1">
      <c r="D28" s="234"/>
    </row>
  </sheetData>
  <mergeCells count="28">
    <mergeCell ref="G24:I24"/>
    <mergeCell ref="F14:G14"/>
    <mergeCell ref="H14:I14"/>
    <mergeCell ref="F15:G15"/>
    <mergeCell ref="H15:I15"/>
    <mergeCell ref="F16:G16"/>
    <mergeCell ref="H16:I16"/>
    <mergeCell ref="F17:G17"/>
    <mergeCell ref="H17:I17"/>
    <mergeCell ref="F18:G18"/>
    <mergeCell ref="H18:I18"/>
    <mergeCell ref="B21:I22"/>
    <mergeCell ref="F13:G13"/>
    <mergeCell ref="H13:I13"/>
    <mergeCell ref="B2:I2"/>
    <mergeCell ref="D4:F4"/>
    <mergeCell ref="H4:I4"/>
    <mergeCell ref="D5:F5"/>
    <mergeCell ref="G5:G8"/>
    <mergeCell ref="H5:I8"/>
    <mergeCell ref="D6:F6"/>
    <mergeCell ref="D7:F7"/>
    <mergeCell ref="D8:F8"/>
    <mergeCell ref="F10:I10"/>
    <mergeCell ref="F11:G11"/>
    <mergeCell ref="H11:I11"/>
    <mergeCell ref="F12:G12"/>
    <mergeCell ref="H12:I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0EA2-70BC-4DDB-BEC4-419A8266226B}">
  <sheetPr>
    <tabColor theme="8" tint="-0.499984740745262"/>
    <pageSetUpPr fitToPage="1"/>
  </sheetPr>
  <dimension ref="A1:P63"/>
  <sheetViews>
    <sheetView topLeftCell="A32" workbookViewId="0">
      <selection activeCell="C44" sqref="C44:O45"/>
    </sheetView>
  </sheetViews>
  <sheetFormatPr defaultRowHeight="13.9"/>
  <cols>
    <col min="1" max="1" width="3.140625" customWidth="1"/>
    <col min="2" max="2" width="4.7109375" customWidth="1"/>
    <col min="3" max="3" width="30" customWidth="1"/>
    <col min="4" max="4" width="10.7109375" customWidth="1"/>
    <col min="5" max="5" width="12.5703125" customWidth="1"/>
    <col min="6" max="6" width="10.28515625" customWidth="1"/>
    <col min="9" max="9" width="14.140625" customWidth="1"/>
    <col min="10" max="10" width="18.85546875" customWidth="1"/>
    <col min="13" max="13" width="11.5703125" customWidth="1"/>
    <col min="14" max="14" width="9.7109375" customWidth="1"/>
    <col min="15" max="15" width="13.140625" customWidth="1"/>
  </cols>
  <sheetData>
    <row r="1" spans="1:15">
      <c r="A1" s="648" t="s">
        <v>143</v>
      </c>
      <c r="B1" s="648"/>
      <c r="C1" s="648"/>
      <c r="D1" s="648"/>
      <c r="E1" s="648"/>
      <c r="F1" s="648"/>
      <c r="G1" s="648"/>
      <c r="H1" s="648"/>
      <c r="I1" s="648"/>
      <c r="J1" s="648"/>
      <c r="K1" s="648"/>
      <c r="L1" s="648"/>
      <c r="M1" s="648"/>
      <c r="N1" s="648"/>
      <c r="O1" s="648"/>
    </row>
    <row r="2" spans="1:15" ht="24" customHeight="1">
      <c r="A2" s="648"/>
      <c r="B2" s="648"/>
      <c r="C2" s="648"/>
      <c r="D2" s="648"/>
      <c r="E2" s="648"/>
      <c r="F2" s="648"/>
      <c r="G2" s="648"/>
      <c r="H2" s="648"/>
      <c r="I2" s="648"/>
      <c r="J2" s="648"/>
      <c r="K2" s="648"/>
      <c r="L2" s="648"/>
      <c r="M2" s="648"/>
      <c r="N2" s="648"/>
      <c r="O2" s="648"/>
    </row>
    <row r="3" spans="1:15" ht="21" customHeight="1">
      <c r="B3" s="649" t="s">
        <v>114</v>
      </c>
      <c r="C3" s="650"/>
      <c r="D3" s="790"/>
      <c r="E3" s="790"/>
      <c r="F3" s="790"/>
      <c r="G3" s="652" t="s">
        <v>146</v>
      </c>
      <c r="H3" s="653"/>
      <c r="I3" s="654" t="s">
        <v>31</v>
      </c>
      <c r="J3" s="654"/>
      <c r="K3" s="655" t="s">
        <v>120</v>
      </c>
      <c r="L3" s="654"/>
      <c r="M3" s="654"/>
      <c r="N3" s="654"/>
      <c r="O3" s="654"/>
    </row>
    <row r="4" spans="1:15" ht="21" customHeight="1">
      <c r="B4" s="649" t="s">
        <v>244</v>
      </c>
      <c r="C4" s="650"/>
      <c r="D4" s="789"/>
      <c r="E4" s="789"/>
      <c r="F4" s="789"/>
      <c r="G4" s="657">
        <f ca="1">O13</f>
        <v>0.46089999999999998</v>
      </c>
      <c r="H4" s="658"/>
      <c r="I4" s="660" t="str">
        <f ca="1">VLOOKUP(G4,rating, 3, TRUE)</f>
        <v>POOR</v>
      </c>
      <c r="J4" s="661"/>
      <c r="K4" s="662" t="str">
        <f ca="1">VLOOKUP(G4, rating, 4, TRUE)</f>
        <v>Consistently failed to expectations.</v>
      </c>
      <c r="L4" s="662"/>
      <c r="M4" s="662"/>
      <c r="N4" s="662"/>
      <c r="O4" s="662"/>
    </row>
    <row r="5" spans="1:15" ht="21" customHeight="1">
      <c r="B5" s="649" t="s">
        <v>245</v>
      </c>
      <c r="C5" s="650"/>
      <c r="D5" s="791"/>
      <c r="E5" s="789"/>
      <c r="F5" s="789"/>
      <c r="G5" s="659"/>
      <c r="H5" s="658"/>
      <c r="I5" s="660"/>
      <c r="J5" s="661"/>
      <c r="K5" s="662"/>
      <c r="L5" s="662"/>
      <c r="M5" s="662"/>
      <c r="N5" s="662"/>
      <c r="O5" s="662"/>
    </row>
    <row r="6" spans="1:15" ht="21" customHeight="1">
      <c r="B6" s="649" t="s">
        <v>151</v>
      </c>
      <c r="C6" s="650"/>
      <c r="D6" s="789"/>
      <c r="E6" s="789"/>
      <c r="F6" s="789"/>
      <c r="G6" s="659"/>
      <c r="H6" s="658"/>
      <c r="I6" s="660"/>
      <c r="J6" s="661"/>
      <c r="K6" s="662"/>
      <c r="L6" s="662"/>
      <c r="M6" s="662"/>
      <c r="N6" s="662"/>
      <c r="O6" s="662"/>
    </row>
    <row r="7" spans="1:15" ht="21" customHeight="1">
      <c r="B7" s="649" t="s">
        <v>246</v>
      </c>
      <c r="C7" s="650"/>
      <c r="D7" s="791"/>
      <c r="E7" s="789"/>
      <c r="F7" s="789"/>
      <c r="G7" s="659"/>
      <c r="H7" s="658"/>
      <c r="I7" s="660"/>
      <c r="J7" s="661"/>
      <c r="K7" s="662"/>
      <c r="L7" s="662"/>
      <c r="M7" s="662"/>
      <c r="N7" s="662"/>
      <c r="O7" s="662"/>
    </row>
    <row r="8" spans="1:15" ht="21" customHeight="1">
      <c r="B8" s="649" t="s">
        <v>247</v>
      </c>
      <c r="C8" s="650"/>
      <c r="D8" s="789"/>
      <c r="E8" s="789"/>
      <c r="F8" s="789"/>
      <c r="G8" s="659"/>
      <c r="H8" s="658"/>
      <c r="I8" s="660"/>
      <c r="J8" s="661"/>
      <c r="K8" s="662"/>
      <c r="L8" s="662"/>
      <c r="M8" s="662"/>
      <c r="N8" s="662"/>
      <c r="O8" s="662"/>
    </row>
    <row r="11" spans="1:15">
      <c r="B11" s="654" t="s">
        <v>248</v>
      </c>
      <c r="C11" s="654" t="s">
        <v>156</v>
      </c>
      <c r="D11" s="654"/>
      <c r="E11" s="654" t="s">
        <v>249</v>
      </c>
      <c r="F11" s="654"/>
      <c r="G11" s="654"/>
      <c r="H11" s="654" t="s">
        <v>250</v>
      </c>
      <c r="I11" s="654"/>
      <c r="J11" s="654"/>
      <c r="K11" s="654" t="s">
        <v>175</v>
      </c>
      <c r="L11" s="654"/>
      <c r="M11" s="128" t="s">
        <v>176</v>
      </c>
      <c r="N11" s="127" t="s">
        <v>251</v>
      </c>
      <c r="O11" s="127" t="s">
        <v>194</v>
      </c>
    </row>
    <row r="12" spans="1:15">
      <c r="B12" s="654"/>
      <c r="C12" s="654"/>
      <c r="D12" s="654"/>
      <c r="E12" s="654"/>
      <c r="F12" s="654"/>
      <c r="G12" s="654"/>
      <c r="H12" s="654"/>
      <c r="I12" s="654"/>
      <c r="J12" s="654"/>
      <c r="K12" s="654"/>
      <c r="L12" s="654"/>
      <c r="M12" s="161" t="s">
        <v>252</v>
      </c>
      <c r="N12" s="127" t="s">
        <v>253</v>
      </c>
      <c r="O12" s="127" t="s">
        <v>253</v>
      </c>
    </row>
    <row r="13" spans="1:15" ht="30" customHeight="1">
      <c r="B13" s="786"/>
      <c r="C13" s="786"/>
      <c r="D13" s="786"/>
      <c r="E13" s="786"/>
      <c r="F13" s="786"/>
      <c r="G13" s="786"/>
      <c r="H13" s="786"/>
      <c r="I13" s="786"/>
      <c r="J13" s="786"/>
      <c r="K13" s="786"/>
      <c r="L13" s="786"/>
      <c r="M13" s="327">
        <f>+M19+M25+M30+M34+M38+M42+M45</f>
        <v>1</v>
      </c>
      <c r="N13" s="165">
        <v>5</v>
      </c>
      <c r="O13" s="212">
        <f ca="1">+O19+O25+O30+O34+O38+O42+O45</f>
        <v>0.46089999999999998</v>
      </c>
    </row>
    <row r="14" spans="1:15" ht="21" customHeight="1">
      <c r="B14" s="14" t="s">
        <v>48</v>
      </c>
      <c r="C14" s="767" t="s">
        <v>180</v>
      </c>
      <c r="D14" s="767"/>
      <c r="E14" s="768" t="s">
        <v>254</v>
      </c>
      <c r="F14" s="768"/>
      <c r="G14" s="768"/>
      <c r="H14" s="768"/>
      <c r="I14" s="768"/>
      <c r="J14" s="768"/>
      <c r="K14" s="776">
        <v>0.25</v>
      </c>
      <c r="L14" s="776"/>
      <c r="M14" s="14" t="s">
        <v>42</v>
      </c>
      <c r="N14" s="14" t="s">
        <v>43</v>
      </c>
      <c r="O14" s="14" t="s">
        <v>238</v>
      </c>
    </row>
    <row r="15" spans="1:15" ht="27.75" customHeight="1">
      <c r="B15" s="1">
        <v>1</v>
      </c>
      <c r="C15" s="775" t="s">
        <v>255</v>
      </c>
      <c r="D15" s="775"/>
      <c r="E15" s="773" t="s">
        <v>256</v>
      </c>
      <c r="F15" s="773"/>
      <c r="G15" s="773"/>
      <c r="H15" s="773" t="s">
        <v>257</v>
      </c>
      <c r="I15" s="773"/>
      <c r="J15" s="773"/>
      <c r="K15" s="784" t="s">
        <v>258</v>
      </c>
      <c r="L15" s="784"/>
      <c r="M15" s="106">
        <v>7.0000000000000007E-2</v>
      </c>
      <c r="N15" s="211">
        <f ca="1">ScoreBoard!E3</f>
        <v>5</v>
      </c>
      <c r="O15" s="106">
        <f ca="1">(N15/$N$13)*M15</f>
        <v>7.0000000000000007E-2</v>
      </c>
    </row>
    <row r="16" spans="1:15" ht="27.75" customHeight="1">
      <c r="B16" s="1">
        <v>2</v>
      </c>
      <c r="C16" s="775" t="s">
        <v>259</v>
      </c>
      <c r="D16" s="775"/>
      <c r="E16" s="773" t="s">
        <v>260</v>
      </c>
      <c r="F16" s="773"/>
      <c r="G16" s="773"/>
      <c r="H16" s="773" t="s">
        <v>261</v>
      </c>
      <c r="I16" s="773"/>
      <c r="J16" s="773"/>
      <c r="K16" s="784"/>
      <c r="L16" s="784"/>
      <c r="M16" s="106">
        <v>0.06</v>
      </c>
      <c r="N16" s="211">
        <f ca="1">ScoreBoard!G3</f>
        <v>4.375</v>
      </c>
      <c r="O16" s="106">
        <f t="shared" ref="O16:O18" ca="1" si="0">(N16/$N$13)*M16</f>
        <v>5.2499999999999998E-2</v>
      </c>
    </row>
    <row r="17" spans="2:15" ht="27.75" customHeight="1">
      <c r="B17" s="1">
        <v>3</v>
      </c>
      <c r="C17" s="775" t="s">
        <v>262</v>
      </c>
      <c r="D17" s="775"/>
      <c r="E17" s="773" t="s">
        <v>263</v>
      </c>
      <c r="F17" s="773"/>
      <c r="G17" s="773"/>
      <c r="H17" s="773" t="s">
        <v>264</v>
      </c>
      <c r="I17" s="773"/>
      <c r="J17" s="773"/>
      <c r="K17" s="784"/>
      <c r="L17" s="784"/>
      <c r="M17" s="106">
        <v>0.06</v>
      </c>
      <c r="N17" s="211">
        <f ca="1">ScoreBoard!I3</f>
        <v>4.5</v>
      </c>
      <c r="O17" s="106">
        <f t="shared" ca="1" si="0"/>
        <v>5.3999999999999999E-2</v>
      </c>
    </row>
    <row r="18" spans="2:15" ht="27.75" customHeight="1">
      <c r="B18" s="1">
        <v>4</v>
      </c>
      <c r="C18" s="775" t="s">
        <v>265</v>
      </c>
      <c r="D18" s="775"/>
      <c r="E18" s="773" t="s">
        <v>266</v>
      </c>
      <c r="F18" s="773"/>
      <c r="G18" s="773"/>
      <c r="H18" s="773" t="s">
        <v>267</v>
      </c>
      <c r="I18" s="773"/>
      <c r="J18" s="773"/>
      <c r="K18" s="784"/>
      <c r="L18" s="784"/>
      <c r="M18" s="106">
        <v>0.06</v>
      </c>
      <c r="N18" s="211">
        <f ca="1">ScoreBoard!K3</f>
        <v>5</v>
      </c>
      <c r="O18" s="106">
        <f t="shared" ca="1" si="0"/>
        <v>0.06</v>
      </c>
    </row>
    <row r="19" spans="2:15" ht="21.75" customHeight="1">
      <c r="B19" s="126"/>
      <c r="C19" s="771"/>
      <c r="D19" s="771"/>
      <c r="E19" s="125"/>
      <c r="F19" s="125"/>
      <c r="G19" s="125"/>
      <c r="H19" s="125"/>
      <c r="I19" s="125"/>
      <c r="J19" s="125"/>
      <c r="K19" s="162"/>
      <c r="L19" s="125"/>
      <c r="M19" s="129">
        <f>+M15+M16+M17+M18</f>
        <v>0.25</v>
      </c>
      <c r="N19" s="201">
        <f ca="1">+N15+N16+N17+N18</f>
        <v>18.875</v>
      </c>
      <c r="O19" s="129">
        <f ca="1">+O15+O16+O17+O18</f>
        <v>0.23649999999999999</v>
      </c>
    </row>
    <row r="20" spans="2:15" ht="18.75" customHeight="1">
      <c r="B20" s="14" t="s">
        <v>52</v>
      </c>
      <c r="C20" s="767" t="s">
        <v>195</v>
      </c>
      <c r="D20" s="767"/>
      <c r="E20" s="768" t="s">
        <v>268</v>
      </c>
      <c r="F20" s="768"/>
      <c r="G20" s="768"/>
      <c r="H20" s="768"/>
      <c r="I20" s="768"/>
      <c r="J20" s="768"/>
      <c r="K20" s="776">
        <v>0.2</v>
      </c>
      <c r="L20" s="776"/>
      <c r="M20" s="14" t="s">
        <v>42</v>
      </c>
      <c r="N20" s="14" t="s">
        <v>43</v>
      </c>
      <c r="O20" s="14" t="s">
        <v>238</v>
      </c>
    </row>
    <row r="21" spans="2:15" ht="28.5" customHeight="1">
      <c r="B21" s="1">
        <v>5</v>
      </c>
      <c r="C21" s="775" t="s">
        <v>269</v>
      </c>
      <c r="D21" s="775"/>
      <c r="E21" s="773" t="s">
        <v>270</v>
      </c>
      <c r="F21" s="773"/>
      <c r="G21" s="773"/>
      <c r="H21" s="773" t="s">
        <v>271</v>
      </c>
      <c r="I21" s="773"/>
      <c r="J21" s="773"/>
      <c r="K21" s="770" t="s">
        <v>272</v>
      </c>
      <c r="L21" s="770"/>
      <c r="M21" s="106">
        <v>0.05</v>
      </c>
      <c r="N21" s="211">
        <f ca="1">ScoreBoard!N3</f>
        <v>0</v>
      </c>
      <c r="O21" s="106">
        <f t="shared" ref="O21:O24" ca="1" si="1">(N21/$N$13)*M21</f>
        <v>0</v>
      </c>
    </row>
    <row r="22" spans="2:15" ht="33" customHeight="1">
      <c r="B22" s="1">
        <v>6</v>
      </c>
      <c r="C22" s="775" t="s">
        <v>273</v>
      </c>
      <c r="D22" s="775"/>
      <c r="E22" s="773" t="s">
        <v>274</v>
      </c>
      <c r="F22" s="773"/>
      <c r="G22" s="773"/>
      <c r="H22" s="773" t="s">
        <v>275</v>
      </c>
      <c r="I22" s="773"/>
      <c r="J22" s="773"/>
      <c r="K22" s="770"/>
      <c r="L22" s="770"/>
      <c r="M22" s="106">
        <v>0.05</v>
      </c>
      <c r="N22" s="211">
        <f ca="1">ScoreBoard!P3</f>
        <v>0</v>
      </c>
      <c r="O22" s="106">
        <f t="shared" ca="1" si="1"/>
        <v>0</v>
      </c>
    </row>
    <row r="23" spans="2:15" ht="33" customHeight="1">
      <c r="B23" s="1">
        <v>7</v>
      </c>
      <c r="C23" s="775" t="s">
        <v>276</v>
      </c>
      <c r="D23" s="775"/>
      <c r="E23" s="773" t="s">
        <v>277</v>
      </c>
      <c r="F23" s="773"/>
      <c r="G23" s="773"/>
      <c r="H23" s="773" t="s">
        <v>278</v>
      </c>
      <c r="I23" s="773"/>
      <c r="J23" s="773"/>
      <c r="K23" s="770"/>
      <c r="L23" s="770"/>
      <c r="M23" s="106">
        <v>0.05</v>
      </c>
      <c r="N23" s="211">
        <f ca="1">ScoreBoard!R3</f>
        <v>0</v>
      </c>
      <c r="O23" s="106">
        <f t="shared" ca="1" si="1"/>
        <v>0</v>
      </c>
    </row>
    <row r="24" spans="2:15" ht="33" customHeight="1">
      <c r="B24" s="1">
        <v>8</v>
      </c>
      <c r="C24" s="775" t="s">
        <v>279</v>
      </c>
      <c r="D24" s="775"/>
      <c r="E24" s="773" t="s">
        <v>280</v>
      </c>
      <c r="F24" s="773"/>
      <c r="G24" s="773"/>
      <c r="H24" s="773" t="s">
        <v>275</v>
      </c>
      <c r="I24" s="773"/>
      <c r="J24" s="773"/>
      <c r="K24" s="770"/>
      <c r="L24" s="770"/>
      <c r="M24" s="330">
        <v>0.05</v>
      </c>
      <c r="N24" s="211">
        <f ca="1">ScoreBoard!T3</f>
        <v>0</v>
      </c>
      <c r="O24" s="106">
        <f t="shared" ca="1" si="1"/>
        <v>0</v>
      </c>
    </row>
    <row r="25" spans="2:15" ht="23.25" customHeight="1">
      <c r="B25" s="126"/>
      <c r="C25" s="771"/>
      <c r="D25" s="771"/>
      <c r="E25" s="125"/>
      <c r="F25" s="125"/>
      <c r="G25" s="125"/>
      <c r="H25" s="125"/>
      <c r="I25" s="125"/>
      <c r="J25" s="125"/>
      <c r="K25" s="162"/>
      <c r="L25" s="125"/>
      <c r="M25" s="129">
        <f>+M21+M22+M23+M24</f>
        <v>0.2</v>
      </c>
      <c r="N25" s="201">
        <f ca="1">+N21+N22+N23+N24</f>
        <v>0</v>
      </c>
      <c r="O25" s="129">
        <f ca="1">+O21+O22+O23+O24</f>
        <v>0</v>
      </c>
    </row>
    <row r="26" spans="2:15" ht="18.75" customHeight="1">
      <c r="B26" s="14" t="s">
        <v>56</v>
      </c>
      <c r="C26" s="767" t="s">
        <v>281</v>
      </c>
      <c r="D26" s="767"/>
      <c r="E26" s="768" t="s">
        <v>282</v>
      </c>
      <c r="F26" s="768"/>
      <c r="G26" s="768"/>
      <c r="H26" s="768"/>
      <c r="I26" s="768"/>
      <c r="J26" s="768"/>
      <c r="K26" s="776">
        <v>0.15</v>
      </c>
      <c r="L26" s="776"/>
      <c r="M26" s="14" t="s">
        <v>42</v>
      </c>
      <c r="N26" s="14" t="s">
        <v>43</v>
      </c>
      <c r="O26" s="14" t="s">
        <v>238</v>
      </c>
    </row>
    <row r="27" spans="2:15" ht="39" customHeight="1">
      <c r="B27" s="1">
        <v>9</v>
      </c>
      <c r="C27" s="775" t="s">
        <v>283</v>
      </c>
      <c r="D27" s="775"/>
      <c r="E27" s="773" t="s">
        <v>284</v>
      </c>
      <c r="F27" s="773"/>
      <c r="G27" s="773"/>
      <c r="H27" s="773" t="s">
        <v>285</v>
      </c>
      <c r="I27" s="773"/>
      <c r="J27" s="773"/>
      <c r="K27" s="770" t="s">
        <v>272</v>
      </c>
      <c r="L27" s="770"/>
      <c r="M27" s="106">
        <v>0.05</v>
      </c>
      <c r="N27" s="211">
        <f ca="1">ScoreBoard!W3</f>
        <v>0</v>
      </c>
      <c r="O27" s="106">
        <f t="shared" ref="O27:O29" ca="1" si="2">(N27/$N$13)*M27</f>
        <v>0</v>
      </c>
    </row>
    <row r="28" spans="2:15" ht="33.75" customHeight="1">
      <c r="B28" s="1">
        <v>10</v>
      </c>
      <c r="C28" s="775" t="s">
        <v>286</v>
      </c>
      <c r="D28" s="775"/>
      <c r="E28" s="773" t="s">
        <v>287</v>
      </c>
      <c r="F28" s="773"/>
      <c r="G28" s="773"/>
      <c r="H28" s="773" t="s">
        <v>288</v>
      </c>
      <c r="I28" s="773"/>
      <c r="J28" s="773"/>
      <c r="K28" s="770"/>
      <c r="L28" s="770"/>
      <c r="M28" s="106">
        <v>0.05</v>
      </c>
      <c r="N28" s="211">
        <f ca="1">ScoreBoard!Y3</f>
        <v>0</v>
      </c>
      <c r="O28" s="106">
        <f t="shared" ca="1" si="2"/>
        <v>0</v>
      </c>
    </row>
    <row r="29" spans="2:15" ht="30.75" customHeight="1">
      <c r="B29" s="1">
        <v>11</v>
      </c>
      <c r="C29" s="785" t="s">
        <v>289</v>
      </c>
      <c r="D29" s="785"/>
      <c r="E29" s="773" t="s">
        <v>290</v>
      </c>
      <c r="F29" s="773"/>
      <c r="G29" s="773"/>
      <c r="H29" s="773" t="s">
        <v>291</v>
      </c>
      <c r="I29" s="773"/>
      <c r="J29" s="773"/>
      <c r="K29" s="770"/>
      <c r="L29" s="770"/>
      <c r="M29" s="106">
        <v>0.05</v>
      </c>
      <c r="N29" s="211">
        <f ca="1">ScoreBoard!AA3</f>
        <v>0</v>
      </c>
      <c r="O29" s="106">
        <f t="shared" ca="1" si="2"/>
        <v>0</v>
      </c>
    </row>
    <row r="30" spans="2:15" ht="18.75" customHeight="1">
      <c r="B30" s="126"/>
      <c r="C30" s="771"/>
      <c r="D30" s="771"/>
      <c r="E30" s="125"/>
      <c r="F30" s="125"/>
      <c r="G30" s="125"/>
      <c r="H30" s="125"/>
      <c r="I30" s="125"/>
      <c r="J30" s="125"/>
      <c r="K30" s="162"/>
      <c r="L30" s="125"/>
      <c r="M30" s="129">
        <f>+M27+M28+M29</f>
        <v>0.15000000000000002</v>
      </c>
      <c r="N30" s="201">
        <f ca="1">+N27+N28+N29</f>
        <v>0</v>
      </c>
      <c r="O30" s="129">
        <f ca="1">+O27+O28+O29</f>
        <v>0</v>
      </c>
    </row>
    <row r="31" spans="2:15" ht="31.5" customHeight="1">
      <c r="B31" s="14" t="s">
        <v>22</v>
      </c>
      <c r="C31" s="787" t="s">
        <v>292</v>
      </c>
      <c r="D31" s="787"/>
      <c r="E31" s="768" t="s">
        <v>293</v>
      </c>
      <c r="F31" s="768"/>
      <c r="G31" s="768"/>
      <c r="H31" s="768"/>
      <c r="I31" s="768"/>
      <c r="J31" s="768"/>
      <c r="K31" s="776">
        <v>0.1</v>
      </c>
      <c r="L31" s="776"/>
      <c r="M31" s="14" t="s">
        <v>42</v>
      </c>
      <c r="N31" s="14" t="s">
        <v>43</v>
      </c>
      <c r="O31" s="14" t="s">
        <v>238</v>
      </c>
    </row>
    <row r="32" spans="2:15" ht="31.5" customHeight="1">
      <c r="B32" s="1">
        <v>12</v>
      </c>
      <c r="C32" s="775" t="s">
        <v>294</v>
      </c>
      <c r="D32" s="775"/>
      <c r="E32" s="773" t="s">
        <v>268</v>
      </c>
      <c r="F32" s="773"/>
      <c r="G32" s="773"/>
      <c r="H32" s="773" t="s">
        <v>295</v>
      </c>
      <c r="I32" s="773"/>
      <c r="J32" s="773"/>
      <c r="K32" s="770" t="s">
        <v>272</v>
      </c>
      <c r="L32" s="770"/>
      <c r="M32" s="106">
        <v>0.05</v>
      </c>
      <c r="N32" s="211">
        <f ca="1">ScoreBoard!AD3</f>
        <v>0</v>
      </c>
      <c r="O32" s="106">
        <f t="shared" ref="O32:O33" ca="1" si="3">(N32/$N$13)*M32</f>
        <v>0</v>
      </c>
    </row>
    <row r="33" spans="2:16" ht="32.25" customHeight="1">
      <c r="B33" s="1">
        <v>13</v>
      </c>
      <c r="C33" s="775" t="s">
        <v>296</v>
      </c>
      <c r="D33" s="775"/>
      <c r="E33" s="774" t="s">
        <v>297</v>
      </c>
      <c r="F33" s="774"/>
      <c r="G33" s="774"/>
      <c r="H33" s="773" t="s">
        <v>298</v>
      </c>
      <c r="I33" s="773"/>
      <c r="J33" s="773"/>
      <c r="K33" s="770"/>
      <c r="L33" s="770"/>
      <c r="M33" s="106">
        <v>0.05</v>
      </c>
      <c r="N33" s="211">
        <f ca="1">ScoreBoard!AF3</f>
        <v>0</v>
      </c>
      <c r="O33" s="106">
        <f t="shared" ca="1" si="3"/>
        <v>0</v>
      </c>
    </row>
    <row r="34" spans="2:16">
      <c r="B34" s="126"/>
      <c r="C34" s="771"/>
      <c r="D34" s="771"/>
      <c r="E34" s="125"/>
      <c r="F34" s="125"/>
      <c r="G34" s="125"/>
      <c r="H34" s="125"/>
      <c r="I34" s="125"/>
      <c r="J34" s="125"/>
      <c r="K34" s="162"/>
      <c r="L34" s="125"/>
      <c r="M34" s="129">
        <f>+M32+M33</f>
        <v>0.1</v>
      </c>
      <c r="N34" s="201">
        <f ca="1">+N32+N33</f>
        <v>0</v>
      </c>
      <c r="O34" s="129">
        <f ca="1">+O32+O33</f>
        <v>0</v>
      </c>
    </row>
    <row r="35" spans="2:16" ht="21.75" customHeight="1">
      <c r="B35" s="14" t="s">
        <v>25</v>
      </c>
      <c r="C35" s="767" t="s">
        <v>299</v>
      </c>
      <c r="D35" s="767"/>
      <c r="E35" s="768" t="s">
        <v>300</v>
      </c>
      <c r="F35" s="768"/>
      <c r="G35" s="768"/>
      <c r="H35" s="768"/>
      <c r="I35" s="768"/>
      <c r="J35" s="768"/>
      <c r="K35" s="776">
        <v>0.1</v>
      </c>
      <c r="L35" s="776"/>
      <c r="M35" s="14" t="s">
        <v>42</v>
      </c>
      <c r="N35" s="14" t="s">
        <v>43</v>
      </c>
      <c r="O35" s="14" t="s">
        <v>238</v>
      </c>
    </row>
    <row r="36" spans="2:16" ht="38.25" customHeight="1">
      <c r="B36" s="1">
        <v>14</v>
      </c>
      <c r="C36" s="775" t="s">
        <v>301</v>
      </c>
      <c r="D36" s="775"/>
      <c r="E36" s="773" t="s">
        <v>302</v>
      </c>
      <c r="F36" s="775"/>
      <c r="G36" s="775"/>
      <c r="H36" s="773" t="s">
        <v>303</v>
      </c>
      <c r="I36" s="775"/>
      <c r="J36" s="775"/>
      <c r="K36" s="788" t="s">
        <v>272</v>
      </c>
      <c r="L36" s="788"/>
      <c r="M36" s="106">
        <v>0.08</v>
      </c>
      <c r="N36" s="211">
        <f ca="1">ScoreBoard!AI3</f>
        <v>2.5</v>
      </c>
      <c r="O36" s="106">
        <f t="shared" ref="O36:O37" ca="1" si="4">(N36/$N$13)*M36</f>
        <v>0.04</v>
      </c>
    </row>
    <row r="37" spans="2:16" ht="46.5" customHeight="1">
      <c r="B37" s="1">
        <v>15</v>
      </c>
      <c r="C37" s="775" t="s">
        <v>304</v>
      </c>
      <c r="D37" s="775"/>
      <c r="E37" s="773" t="s">
        <v>302</v>
      </c>
      <c r="F37" s="775"/>
      <c r="G37" s="775"/>
      <c r="H37" s="773" t="s">
        <v>303</v>
      </c>
      <c r="I37" s="775"/>
      <c r="J37" s="775"/>
      <c r="K37" s="788"/>
      <c r="L37" s="788"/>
      <c r="M37" s="106">
        <v>0.02</v>
      </c>
      <c r="N37" s="211">
        <f ca="1">ScoreBoard!AK3</f>
        <v>0</v>
      </c>
      <c r="O37" s="106">
        <f t="shared" ca="1" si="4"/>
        <v>0</v>
      </c>
    </row>
    <row r="38" spans="2:16" ht="17.25" customHeight="1">
      <c r="B38" s="126"/>
      <c r="C38" s="771"/>
      <c r="D38" s="771"/>
      <c r="E38" s="125"/>
      <c r="F38" s="125"/>
      <c r="G38" s="125"/>
      <c r="H38" s="125"/>
      <c r="I38" s="125"/>
      <c r="J38" s="125"/>
      <c r="K38" s="162"/>
      <c r="L38" s="125"/>
      <c r="M38" s="129">
        <f>M36+M37</f>
        <v>0.1</v>
      </c>
      <c r="N38" s="201">
        <f ca="1">N36+N37</f>
        <v>2.5</v>
      </c>
      <c r="O38" s="129">
        <f ca="1">O36+O37</f>
        <v>0.04</v>
      </c>
    </row>
    <row r="39" spans="2:16" ht="21.75" customHeight="1">
      <c r="B39" s="14" t="s">
        <v>133</v>
      </c>
      <c r="C39" s="767" t="s">
        <v>305</v>
      </c>
      <c r="D39" s="767"/>
      <c r="E39" s="768" t="s">
        <v>306</v>
      </c>
      <c r="F39" s="768"/>
      <c r="G39" s="768"/>
      <c r="H39" s="768"/>
      <c r="I39" s="768"/>
      <c r="J39" s="768"/>
      <c r="K39" s="776">
        <v>0.05</v>
      </c>
      <c r="L39" s="776"/>
      <c r="M39" s="14" t="s">
        <v>42</v>
      </c>
      <c r="N39" s="14" t="s">
        <v>43</v>
      </c>
      <c r="O39" s="14" t="s">
        <v>238</v>
      </c>
    </row>
    <row r="40" spans="2:16" ht="46.5" customHeight="1">
      <c r="B40" s="1">
        <v>16</v>
      </c>
      <c r="C40" s="775" t="s">
        <v>307</v>
      </c>
      <c r="D40" s="775"/>
      <c r="E40" s="773" t="s">
        <v>308</v>
      </c>
      <c r="F40" s="775"/>
      <c r="G40" s="775"/>
      <c r="H40" s="773" t="s">
        <v>309</v>
      </c>
      <c r="I40" s="775"/>
      <c r="J40" s="775"/>
      <c r="K40" s="770" t="s">
        <v>272</v>
      </c>
      <c r="L40" s="770"/>
      <c r="M40" s="106">
        <v>0.05</v>
      </c>
      <c r="N40" s="211">
        <v>5</v>
      </c>
      <c r="O40" s="106">
        <f t="shared" ref="O40:O41" si="5">(N40/$N$13)*M40</f>
        <v>0.05</v>
      </c>
    </row>
    <row r="41" spans="2:16" ht="46.5" customHeight="1">
      <c r="B41" s="1">
        <v>17</v>
      </c>
      <c r="C41" s="775" t="s">
        <v>310</v>
      </c>
      <c r="D41" s="775"/>
      <c r="E41" s="773" t="s">
        <v>311</v>
      </c>
      <c r="F41" s="775"/>
      <c r="G41" s="775"/>
      <c r="H41" s="773" t="s">
        <v>311</v>
      </c>
      <c r="I41" s="775"/>
      <c r="J41" s="775"/>
      <c r="K41" s="770"/>
      <c r="L41" s="770"/>
      <c r="M41" s="106">
        <v>0.05</v>
      </c>
      <c r="N41" s="211">
        <v>5</v>
      </c>
      <c r="O41" s="106">
        <f t="shared" si="5"/>
        <v>0.05</v>
      </c>
    </row>
    <row r="42" spans="2:16">
      <c r="B42" s="126"/>
      <c r="C42" s="771"/>
      <c r="D42" s="771"/>
      <c r="E42" s="125"/>
      <c r="F42" s="125"/>
      <c r="G42" s="125"/>
      <c r="H42" s="125"/>
      <c r="I42" s="125"/>
      <c r="J42" s="125"/>
      <c r="K42" s="772"/>
      <c r="L42" s="772"/>
      <c r="M42" s="129">
        <f>+M40+M41</f>
        <v>0.1</v>
      </c>
      <c r="N42" s="326">
        <f>+N40+N41</f>
        <v>10</v>
      </c>
      <c r="O42" s="129">
        <f>+O40+O41</f>
        <v>0.1</v>
      </c>
    </row>
    <row r="43" spans="2:16" ht="24" customHeight="1">
      <c r="B43" s="14" t="s">
        <v>135</v>
      </c>
      <c r="C43" s="767" t="s">
        <v>136</v>
      </c>
      <c r="D43" s="767"/>
      <c r="E43" s="769"/>
      <c r="F43" s="769"/>
      <c r="G43" s="769"/>
      <c r="H43" s="769"/>
      <c r="I43" s="769"/>
      <c r="J43" s="769"/>
      <c r="K43" s="776">
        <v>0.1</v>
      </c>
      <c r="L43" s="776"/>
      <c r="M43" s="14" t="s">
        <v>42</v>
      </c>
      <c r="N43" s="14" t="s">
        <v>43</v>
      </c>
      <c r="O43" s="14" t="s">
        <v>238</v>
      </c>
    </row>
    <row r="44" spans="2:16" ht="48.75" customHeight="1">
      <c r="B44" s="1">
        <v>18</v>
      </c>
      <c r="C44" s="775" t="s">
        <v>312</v>
      </c>
      <c r="D44" s="775"/>
      <c r="E44" s="773"/>
      <c r="F44" s="775"/>
      <c r="G44" s="775"/>
      <c r="H44" s="773"/>
      <c r="I44" s="775"/>
      <c r="J44" s="775"/>
      <c r="K44" s="773"/>
      <c r="L44" s="775"/>
      <c r="M44" s="106">
        <v>0.1</v>
      </c>
      <c r="N44" s="211">
        <v>4.22</v>
      </c>
      <c r="O44" s="106">
        <f t="shared" ref="O44" si="6">(N44/$N$13)*M44</f>
        <v>8.4400000000000003E-2</v>
      </c>
    </row>
    <row r="45" spans="2:16" ht="18.75" customHeight="1">
      <c r="B45" s="126"/>
      <c r="C45" s="771"/>
      <c r="D45" s="771"/>
      <c r="E45" s="125"/>
      <c r="F45" s="125"/>
      <c r="G45" s="125"/>
      <c r="H45" s="125"/>
      <c r="I45" s="125"/>
      <c r="J45" s="125"/>
      <c r="K45" s="162"/>
      <c r="L45" s="125"/>
      <c r="M45" s="129">
        <f>M44</f>
        <v>0.1</v>
      </c>
      <c r="N45" s="326">
        <f>N44</f>
        <v>4.22</v>
      </c>
      <c r="O45" s="129">
        <f>O44</f>
        <v>8.4400000000000003E-2</v>
      </c>
    </row>
    <row r="46" spans="2:16">
      <c r="B46" s="215">
        <v>18</v>
      </c>
      <c r="C46" s="216" t="s">
        <v>313</v>
      </c>
      <c r="D46" s="216"/>
      <c r="E46" s="216"/>
      <c r="F46" s="216"/>
      <c r="G46" s="216"/>
      <c r="H46" s="217"/>
      <c r="I46" s="217"/>
      <c r="J46" s="217"/>
      <c r="K46" s="217"/>
      <c r="L46" s="217"/>
      <c r="M46" s="216"/>
      <c r="N46" s="216"/>
      <c r="O46" s="216"/>
      <c r="P46" s="218"/>
    </row>
    <row r="47" spans="2:16">
      <c r="B47" s="219"/>
      <c r="C47" s="216"/>
      <c r="D47" s="220" t="b">
        <v>1</v>
      </c>
      <c r="E47" s="216" t="s">
        <v>314</v>
      </c>
      <c r="F47" s="220" t="b">
        <v>0</v>
      </c>
      <c r="G47" s="216" t="s">
        <v>315</v>
      </c>
      <c r="H47" s="217"/>
      <c r="I47" s="217"/>
      <c r="J47" s="217"/>
      <c r="K47" s="217"/>
      <c r="L47" s="217"/>
      <c r="M47" s="216"/>
      <c r="N47" s="216"/>
      <c r="O47" s="216"/>
      <c r="P47" s="218"/>
    </row>
    <row r="48" spans="2:16">
      <c r="B48" s="777" t="s">
        <v>316</v>
      </c>
      <c r="C48" s="778"/>
      <c r="D48" s="778"/>
      <c r="E48" s="778"/>
      <c r="F48" s="778"/>
      <c r="G48" s="778"/>
      <c r="H48" s="778"/>
      <c r="I48" s="778"/>
      <c r="J48" s="778"/>
      <c r="K48" s="778"/>
      <c r="L48" s="778"/>
      <c r="M48" s="778"/>
      <c r="N48" s="778"/>
      <c r="O48" s="778"/>
      <c r="P48" s="779"/>
    </row>
    <row r="49" spans="2:16" ht="53.25" customHeight="1">
      <c r="B49" s="780"/>
      <c r="C49" s="781"/>
      <c r="D49" s="781"/>
      <c r="E49" s="781"/>
      <c r="F49" s="781"/>
      <c r="G49" s="781"/>
      <c r="H49" s="781"/>
      <c r="I49" s="781"/>
      <c r="J49" s="781"/>
      <c r="K49" s="781"/>
      <c r="L49" s="781"/>
      <c r="M49" s="781"/>
      <c r="N49" s="781"/>
      <c r="O49" s="781"/>
      <c r="P49" s="782"/>
    </row>
    <row r="51" spans="2:16" ht="93" customHeight="1">
      <c r="B51" s="783" t="s">
        <v>317</v>
      </c>
      <c r="C51" s="783"/>
      <c r="D51" s="783"/>
      <c r="E51" s="783"/>
      <c r="F51" s="783"/>
      <c r="G51" s="783"/>
      <c r="H51" s="783"/>
      <c r="I51" s="783"/>
      <c r="J51" s="783"/>
      <c r="K51" s="783"/>
      <c r="L51" s="783"/>
      <c r="M51" s="783"/>
      <c r="N51" s="783"/>
      <c r="O51" s="783"/>
      <c r="P51" s="783"/>
    </row>
    <row r="53" spans="2:16">
      <c r="B53" s="32" t="s">
        <v>318</v>
      </c>
      <c r="H53" s="32" t="s">
        <v>319</v>
      </c>
      <c r="M53" s="32" t="s">
        <v>320</v>
      </c>
    </row>
    <row r="56" spans="2:16">
      <c r="B56" s="10"/>
      <c r="C56" s="10"/>
      <c r="E56" s="10"/>
      <c r="M56" s="10"/>
    </row>
    <row r="57" spans="2:16">
      <c r="B57" t="s">
        <v>321</v>
      </c>
      <c r="E57" s="221" t="s">
        <v>142</v>
      </c>
      <c r="H57" s="222" t="s">
        <v>322</v>
      </c>
      <c r="I57" s="5"/>
      <c r="K57" s="222" t="s">
        <v>142</v>
      </c>
      <c r="M57" t="s">
        <v>321</v>
      </c>
      <c r="N57" s="5"/>
      <c r="P57" s="222" t="s">
        <v>142</v>
      </c>
    </row>
    <row r="58" spans="2:16">
      <c r="H58" t="s">
        <v>323</v>
      </c>
    </row>
    <row r="59" spans="2:16">
      <c r="H59" t="s">
        <v>324</v>
      </c>
    </row>
    <row r="60" spans="2:16">
      <c r="B60" s="32" t="s">
        <v>325</v>
      </c>
    </row>
    <row r="62" spans="2:16">
      <c r="B62" s="10"/>
    </row>
    <row r="63" spans="2:16">
      <c r="B63" t="s">
        <v>321</v>
      </c>
      <c r="C63" s="5"/>
      <c r="E63" s="222" t="s">
        <v>142</v>
      </c>
    </row>
  </sheetData>
  <mergeCells count="118">
    <mergeCell ref="C38:D38"/>
    <mergeCell ref="K39:L39"/>
    <mergeCell ref="C40:D40"/>
    <mergeCell ref="E40:G40"/>
    <mergeCell ref="H40:J40"/>
    <mergeCell ref="C41:D41"/>
    <mergeCell ref="C23:D23"/>
    <mergeCell ref="C24:D24"/>
    <mergeCell ref="E23:G23"/>
    <mergeCell ref="H23:J23"/>
    <mergeCell ref="E24:G24"/>
    <mergeCell ref="K31:L31"/>
    <mergeCell ref="C32:D32"/>
    <mergeCell ref="K32:L33"/>
    <mergeCell ref="C33:D33"/>
    <mergeCell ref="A1:O2"/>
    <mergeCell ref="K3:O3"/>
    <mergeCell ref="K4:O8"/>
    <mergeCell ref="D6:F6"/>
    <mergeCell ref="D8:F8"/>
    <mergeCell ref="G3:H3"/>
    <mergeCell ref="G4:H8"/>
    <mergeCell ref="I3:J3"/>
    <mergeCell ref="I4:J8"/>
    <mergeCell ref="B3:C3"/>
    <mergeCell ref="B4:C4"/>
    <mergeCell ref="B5:C5"/>
    <mergeCell ref="B6:C6"/>
    <mergeCell ref="B8:C8"/>
    <mergeCell ref="D3:F3"/>
    <mergeCell ref="D4:F4"/>
    <mergeCell ref="D5:F5"/>
    <mergeCell ref="B7:C7"/>
    <mergeCell ref="D7:F7"/>
    <mergeCell ref="C36:D36"/>
    <mergeCell ref="C31:D31"/>
    <mergeCell ref="E31:J31"/>
    <mergeCell ref="C34:D34"/>
    <mergeCell ref="C30:D30"/>
    <mergeCell ref="E36:G36"/>
    <mergeCell ref="H36:J36"/>
    <mergeCell ref="K36:L37"/>
    <mergeCell ref="H21:J21"/>
    <mergeCell ref="H22:J22"/>
    <mergeCell ref="E21:G21"/>
    <mergeCell ref="E22:G22"/>
    <mergeCell ref="C11:D12"/>
    <mergeCell ref="K26:L26"/>
    <mergeCell ref="K27:L29"/>
    <mergeCell ref="C29:D29"/>
    <mergeCell ref="C27:D27"/>
    <mergeCell ref="C28:D28"/>
    <mergeCell ref="E28:G28"/>
    <mergeCell ref="E29:G29"/>
    <mergeCell ref="H27:J27"/>
    <mergeCell ref="H28:J28"/>
    <mergeCell ref="H29:J29"/>
    <mergeCell ref="H11:J12"/>
    <mergeCell ref="K11:L12"/>
    <mergeCell ref="C19:D19"/>
    <mergeCell ref="C25:D25"/>
    <mergeCell ref="B13:L13"/>
    <mergeCell ref="C14:D14"/>
    <mergeCell ref="E14:J14"/>
    <mergeCell ref="H15:J15"/>
    <mergeCell ref="H16:J16"/>
    <mergeCell ref="H17:J17"/>
    <mergeCell ref="H18:J18"/>
    <mergeCell ref="C20:D20"/>
    <mergeCell ref="E20:J20"/>
    <mergeCell ref="B48:P48"/>
    <mergeCell ref="B49:P49"/>
    <mergeCell ref="B51:P51"/>
    <mergeCell ref="K15:L18"/>
    <mergeCell ref="K14:L14"/>
    <mergeCell ref="E15:G15"/>
    <mergeCell ref="E16:G16"/>
    <mergeCell ref="E17:G17"/>
    <mergeCell ref="E18:G18"/>
    <mergeCell ref="C15:D15"/>
    <mergeCell ref="C16:D16"/>
    <mergeCell ref="C17:D17"/>
    <mergeCell ref="C18:D18"/>
    <mergeCell ref="K20:L20"/>
    <mergeCell ref="C26:D26"/>
    <mergeCell ref="E26:J26"/>
    <mergeCell ref="E27:G27"/>
    <mergeCell ref="H44:J44"/>
    <mergeCell ref="K44:L44"/>
    <mergeCell ref="K43:L43"/>
    <mergeCell ref="C21:D21"/>
    <mergeCell ref="C22:D22"/>
    <mergeCell ref="H24:J24"/>
    <mergeCell ref="K21:L24"/>
    <mergeCell ref="B11:B12"/>
    <mergeCell ref="E11:G12"/>
    <mergeCell ref="C39:D39"/>
    <mergeCell ref="E39:J39"/>
    <mergeCell ref="C43:D43"/>
    <mergeCell ref="E43:J43"/>
    <mergeCell ref="K40:L41"/>
    <mergeCell ref="C45:D45"/>
    <mergeCell ref="K42:L42"/>
    <mergeCell ref="E32:G32"/>
    <mergeCell ref="E33:G33"/>
    <mergeCell ref="H32:J32"/>
    <mergeCell ref="H33:J33"/>
    <mergeCell ref="C35:D35"/>
    <mergeCell ref="E35:J35"/>
    <mergeCell ref="C42:D42"/>
    <mergeCell ref="C37:D37"/>
    <mergeCell ref="E37:G37"/>
    <mergeCell ref="H37:J37"/>
    <mergeCell ref="E41:G41"/>
    <mergeCell ref="H41:J41"/>
    <mergeCell ref="K35:L35"/>
    <mergeCell ref="C44:D44"/>
    <mergeCell ref="E44:G44"/>
  </mergeCells>
  <pageMargins left="0.25" right="0.25" top="0.75" bottom="0.75" header="0.3" footer="0.3"/>
  <pageSetup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4F6C-16AF-44C3-973B-474E594C103A}">
  <dimension ref="B1:AW132"/>
  <sheetViews>
    <sheetView topLeftCell="B1" workbookViewId="0">
      <selection activeCell="E3" sqref="E3"/>
    </sheetView>
  </sheetViews>
  <sheetFormatPr defaultColWidth="9.140625" defaultRowHeight="13.9"/>
  <cols>
    <col min="1" max="1" width="2.7109375" customWidth="1"/>
    <col min="3" max="3" width="26.5703125" customWidth="1"/>
    <col min="4" max="12" width="6.42578125" customWidth="1"/>
    <col min="13" max="22" width="6.140625" style="25" customWidth="1"/>
    <col min="23" max="25" width="5.7109375" style="25" customWidth="1"/>
    <col min="26" max="33" width="5.7109375" customWidth="1"/>
    <col min="34" max="34" width="6.85546875" customWidth="1"/>
    <col min="35" max="36" width="5.5703125" customWidth="1"/>
    <col min="37" max="37" width="6.140625" customWidth="1"/>
    <col min="38" max="38" width="6.85546875" customWidth="1"/>
    <col min="39" max="39" width="3.85546875" customWidth="1"/>
    <col min="41" max="41" width="36.5703125" bestFit="1" customWidth="1"/>
    <col min="42" max="45" width="5.85546875" customWidth="1"/>
    <col min="48" max="48" width="23.42578125" customWidth="1"/>
  </cols>
  <sheetData>
    <row r="1" spans="2:49" s="25" customFormat="1" ht="15" customHeight="1">
      <c r="B1" s="792" t="s">
        <v>248</v>
      </c>
      <c r="C1" s="794" t="s">
        <v>326</v>
      </c>
      <c r="D1" s="185" t="e">
        <f>E1+G1+I1+K1+#REF!</f>
        <v>#REF!</v>
      </c>
      <c r="E1" s="209">
        <v>20</v>
      </c>
      <c r="F1" s="209">
        <v>5</v>
      </c>
      <c r="G1" s="209">
        <v>40</v>
      </c>
      <c r="H1" s="209">
        <v>5</v>
      </c>
      <c r="I1" s="209">
        <v>20</v>
      </c>
      <c r="J1" s="209">
        <v>5</v>
      </c>
      <c r="K1" s="209">
        <v>20</v>
      </c>
      <c r="L1" s="209">
        <v>5</v>
      </c>
      <c r="M1" s="210">
        <f>N1+P1+R1+T1</f>
        <v>100</v>
      </c>
      <c r="N1" s="210">
        <v>25</v>
      </c>
      <c r="O1" s="210">
        <v>5</v>
      </c>
      <c r="P1" s="210">
        <v>25</v>
      </c>
      <c r="Q1" s="210">
        <v>5</v>
      </c>
      <c r="R1" s="210">
        <v>25</v>
      </c>
      <c r="S1" s="210">
        <v>5</v>
      </c>
      <c r="T1" s="210">
        <v>25</v>
      </c>
      <c r="U1" s="210">
        <v>5</v>
      </c>
      <c r="V1" s="210">
        <f>W1+Y1+AA1</f>
        <v>100</v>
      </c>
      <c r="W1" s="210">
        <v>30</v>
      </c>
      <c r="X1" s="210">
        <v>5</v>
      </c>
      <c r="Y1" s="210">
        <v>40</v>
      </c>
      <c r="Z1" s="210">
        <v>5</v>
      </c>
      <c r="AA1" s="210">
        <v>30</v>
      </c>
      <c r="AB1" s="210">
        <v>5</v>
      </c>
      <c r="AC1" s="210">
        <f>AD1+AF1</f>
        <v>100</v>
      </c>
      <c r="AD1" s="210">
        <v>50</v>
      </c>
      <c r="AE1" s="210">
        <v>5</v>
      </c>
      <c r="AF1" s="210">
        <v>50</v>
      </c>
      <c r="AG1" s="210">
        <v>5</v>
      </c>
      <c r="AH1" s="210">
        <f>AI1+AK1</f>
        <v>100</v>
      </c>
      <c r="AI1" s="210">
        <v>80</v>
      </c>
      <c r="AJ1" s="210">
        <v>5</v>
      </c>
      <c r="AK1" s="210">
        <v>20</v>
      </c>
      <c r="AL1" s="210">
        <v>5</v>
      </c>
    </row>
    <row r="2" spans="2:49" s="25" customFormat="1" ht="231.75" customHeight="1">
      <c r="B2" s="793"/>
      <c r="C2" s="795"/>
      <c r="D2" s="186" t="s">
        <v>327</v>
      </c>
      <c r="E2" s="184" t="s">
        <v>328</v>
      </c>
      <c r="F2" s="182"/>
      <c r="G2" s="184" t="s">
        <v>259</v>
      </c>
      <c r="H2" s="182"/>
      <c r="I2" s="184" t="s">
        <v>262</v>
      </c>
      <c r="J2" s="182"/>
      <c r="K2" s="184" t="s">
        <v>329</v>
      </c>
      <c r="L2" s="182"/>
      <c r="M2" s="183" t="s">
        <v>330</v>
      </c>
      <c r="N2" s="184" t="s">
        <v>269</v>
      </c>
      <c r="O2" s="184"/>
      <c r="P2" s="184" t="s">
        <v>331</v>
      </c>
      <c r="Q2" s="184"/>
      <c r="R2" s="184" t="s">
        <v>276</v>
      </c>
      <c r="S2" s="184"/>
      <c r="T2" s="184" t="s">
        <v>332</v>
      </c>
      <c r="U2" s="184"/>
      <c r="V2" s="183" t="s">
        <v>333</v>
      </c>
      <c r="W2" s="184" t="s">
        <v>283</v>
      </c>
      <c r="X2" s="184"/>
      <c r="Y2" s="184" t="s">
        <v>286</v>
      </c>
      <c r="Z2" s="184"/>
      <c r="AA2" s="184" t="s">
        <v>289</v>
      </c>
      <c r="AB2" s="184"/>
      <c r="AC2" s="183" t="s">
        <v>334</v>
      </c>
      <c r="AD2" s="184" t="s">
        <v>335</v>
      </c>
      <c r="AE2" s="184"/>
      <c r="AF2" s="184" t="s">
        <v>336</v>
      </c>
      <c r="AG2" s="184"/>
      <c r="AH2" s="183" t="s">
        <v>337</v>
      </c>
      <c r="AI2" s="328" t="s">
        <v>301</v>
      </c>
      <c r="AJ2" s="184"/>
      <c r="AK2" s="184" t="s">
        <v>338</v>
      </c>
      <c r="AL2" s="184"/>
      <c r="AN2" s="178" t="s">
        <v>248</v>
      </c>
      <c r="AO2" s="178" t="s">
        <v>339</v>
      </c>
      <c r="AP2" s="179" t="s">
        <v>340</v>
      </c>
      <c r="AQ2" s="180" t="s">
        <v>341</v>
      </c>
      <c r="AR2" s="180" t="s">
        <v>342</v>
      </c>
      <c r="AS2" s="181" t="s">
        <v>343</v>
      </c>
      <c r="AU2" s="178" t="s">
        <v>248</v>
      </c>
      <c r="AV2" s="178" t="s">
        <v>344</v>
      </c>
      <c r="AW2" s="179" t="s">
        <v>345</v>
      </c>
    </row>
    <row r="3" spans="2:49" s="1" customFormat="1" ht="23.25" customHeight="1">
      <c r="C3" s="203"/>
      <c r="D3" s="177">
        <f ca="1">IFERROR( SUM(E3, G3, I3, K3) / (COUNTIF(E3, "&lt;&gt;0") + COUNTIF(G3, "&lt;&gt;0") + COUNTIF(I3, "&lt;&gt;0") + COUNTIF(K3, "&lt;&gt;0")), 0)</f>
        <v>4.71875</v>
      </c>
      <c r="E3" s="176">
        <f ca="1">IFERROR(SUMIF(OFFSET(F4, 0, 0, COUNTA(F:F)-3, 1), "&lt;&gt;0") / COUNTIF(OFFSET(F4, 0, 0, COUNTA(F:F)-3, 1), "&lt;&gt;0"), 0)</f>
        <v>5</v>
      </c>
      <c r="F3" s="174"/>
      <c r="G3" s="176">
        <f ca="1">IFERROR(SUMIF(OFFSET(H4, 0, 0, COUNTA(H:H)-3, 1), "&lt;&gt;0") / COUNTIF(OFFSET(H4, 0, 0, COUNTA(H:H)-3, 1), "&lt;&gt;0"), 0)</f>
        <v>4.375</v>
      </c>
      <c r="H3" s="174"/>
      <c r="I3" s="176">
        <f ca="1">IFERROR(SUMIF(OFFSET(J4, 0, 0, COUNTA(J:J)-3, 1), "&lt;&gt;0") / COUNTIF(OFFSET(J4, 0, 0, COUNTA(J:J)-3, 1), "&lt;&gt;0"), 0)</f>
        <v>4.5</v>
      </c>
      <c r="J3" s="174"/>
      <c r="K3" s="176">
        <f ca="1">IFERROR(SUMIF(OFFSET(L4, 0, 0, COUNTA(L:L)-3, 1), "&lt;&gt;0") / COUNTIF(OFFSET(L4, 0, 0, COUNTA(L:L)-3, 1), "&lt;&gt;0"), 0)</f>
        <v>5</v>
      </c>
      <c r="L3" s="174"/>
      <c r="M3" s="177">
        <f ca="1">IFERROR(SUM(N3, P3, R3, T3) / (COUNTIF(N3, "&lt;&gt;0") + COUNTIF(P3, "&lt;&gt;0") + COUNTIF(R3, "&lt;&gt;0") + COUNTIF(T3, "&lt;&gt;0")), 0)</f>
        <v>0</v>
      </c>
      <c r="N3" s="176">
        <f ca="1">IFERROR(SUMIF(OFFSET(O4, 0, 0, COUNTA(O:O)-3, 1), "&lt;&gt;0") / COUNTIF(OFFSET(O4, 0, 0, COUNTA(O:O)-3, 1), "&lt;&gt;0"), 0)</f>
        <v>0</v>
      </c>
      <c r="O3" s="174"/>
      <c r="P3" s="176">
        <f ca="1">IFERROR(SUMIF(OFFSET(Q4, 0, 0, COUNTA(Q:Q)-3, 1), "&lt;&gt;0") / COUNTIF(OFFSET(Q4, 0, 0, COUNTA(Q:Q)-3, 1), "&lt;&gt;0"), 0)</f>
        <v>0</v>
      </c>
      <c r="Q3" s="174"/>
      <c r="R3" s="176">
        <f ca="1">IFERROR(SUMIF(OFFSET(S4, 0, 0, COUNTA(S:S)-3, 1), "&lt;&gt;0") / COUNTIF(OFFSET(S4, 0, 0, COUNTA(S:S)-3, 1), "&lt;&gt;0"), 0)</f>
        <v>0</v>
      </c>
      <c r="S3" s="174"/>
      <c r="T3" s="176">
        <f ca="1">IFERROR(SUMIF(OFFSET(U4, 0, 0, COUNTA(U:U)-3, 1), "&lt;&gt;0") / COUNTIF(OFFSET(U4, 0, 0, COUNTA(U:U)-3, 1), "&lt;&gt;0"), 0)</f>
        <v>0</v>
      </c>
      <c r="U3" s="174"/>
      <c r="V3" s="177">
        <f ca="1">IFERROR(SUM(W3, Y3, AA3) / (COUNTIF(W3, "&lt;&gt;0") + COUNTIF(Y3, "&lt;&gt;0") + COUNTIF(AA3, "&lt;&gt;0")), 0)</f>
        <v>0</v>
      </c>
      <c r="W3" s="176">
        <f ca="1">IFERROR(SUMIF(OFFSET(X4, 0, 0, COUNTA(X:X)-3, 1), "&lt;&gt;0") / COUNTIF(OFFSET(X4, 0, 0, COUNTA(X:X)-3, 1), "&lt;&gt;0"), 0)</f>
        <v>0</v>
      </c>
      <c r="X3" s="174"/>
      <c r="Y3" s="176">
        <f ca="1">IFERROR(SUMIF(OFFSET(Z4, 0, 0, COUNTA(Z:Z)-3, 1), "&lt;&gt;0") / COUNTIF(OFFSET(Z4, 0, 0, COUNTA(Z:Z)-3, 1), "&lt;&gt;0"), 0)</f>
        <v>0</v>
      </c>
      <c r="Z3" s="174"/>
      <c r="AA3" s="176">
        <f ca="1">IFERROR(SUMIF(OFFSET(AB4, 0, 0, COUNTA(AB:AB)-3, 1), "&lt;&gt;0") / COUNTIF(OFFSET(AB4, 0, 0, COUNTA(AB:AB)-3, 1), "&lt;&gt;0"), 0)</f>
        <v>0</v>
      </c>
      <c r="AB3" s="174"/>
      <c r="AC3" s="177">
        <f ca="1">IFERROR(SUM(AD3, AF3) / (COUNTIF(AD3, "&lt;&gt;0") + COUNTIF(AF3, "&lt;&gt;0")), 0)</f>
        <v>0</v>
      </c>
      <c r="AD3" s="176">
        <f ca="1">IFERROR(SUMIF(OFFSET(AE4, 0, 0, COUNTA(AE:AE)-3, 1), "&lt;&gt;0") / COUNTIF(OFFSET(AE4, 0, 0, COUNTA(AE:AE)-3, 1), "&lt;&gt;0"), 0)</f>
        <v>0</v>
      </c>
      <c r="AE3" s="174"/>
      <c r="AF3" s="176">
        <f ca="1">IFERROR(SUMIF(OFFSET(AG4, 0, 0, COUNTA(AG:AG)-3, 1), "&lt;&gt;0") / COUNTIF(OFFSET(AG4, 0, 0, COUNTA(AG:AG)-3, 1), "&lt;&gt;0"), 0)</f>
        <v>0</v>
      </c>
      <c r="AG3" s="174"/>
      <c r="AH3" s="177">
        <f ca="1">IFERROR(SUM(AI3, AK3) / (COUNTIF(AI3, "&lt;&gt;0") + COUNTIF(AK3, "&lt;&gt;0")), 0)</f>
        <v>2.5</v>
      </c>
      <c r="AI3" s="176">
        <f ca="1">IFERROR(SUMIF(OFFSET(AJ4, 0, 0, COUNTA(AJ:AJ)-3, 1), "&lt;&gt;0") / COUNTIF(OFFSET(AJ4, 0, 0, COUNTA(AJ:AJ)-3, 1), "&lt;&gt;0"), 0)</f>
        <v>2.5</v>
      </c>
      <c r="AJ3" s="174"/>
      <c r="AK3" s="176">
        <f ca="1">IFERROR(SUMIF(OFFSET(AL4, 0, 0, COUNTA(AL:AL)-3, 1), "&lt;&gt;0") / COUNTIF(OFFSET(AL4, 0, 0, COUNTA(AL:AL)-3, 1), "&lt;&gt;0"), 0)</f>
        <v>0</v>
      </c>
      <c r="AL3" s="174"/>
      <c r="AM3" s="174"/>
      <c r="AP3" s="177"/>
      <c r="AQ3" s="176"/>
      <c r="AR3" s="176">
        <f ca="1">IFERROR(SUMIF(OFFSET(AR4, 0, 0, COUNTA(AR4:AR1000), 1), "&lt;&gt;0") / COUNTIF(OFFSET(AR4, 0, 0, COUNTA(AR4:AR1000), 1), "&lt;&gt;0"), 0)</f>
        <v>50</v>
      </c>
      <c r="AS3" s="176"/>
      <c r="AW3"/>
    </row>
    <row r="4" spans="2:49" ht="18.75" customHeight="1">
      <c r="C4" s="203" t="s">
        <v>346</v>
      </c>
      <c r="D4" s="177">
        <f>+E4+G4+I4+K4</f>
        <v>93</v>
      </c>
      <c r="E4" s="1">
        <v>20</v>
      </c>
      <c r="F4" s="175">
        <f>E4*$F$1/$E$1</f>
        <v>5</v>
      </c>
      <c r="G4" s="1">
        <v>35</v>
      </c>
      <c r="H4" s="175">
        <f>G4*$H$1/$G$1</f>
        <v>4.375</v>
      </c>
      <c r="I4" s="1">
        <v>18</v>
      </c>
      <c r="J4" s="175">
        <f>I4*$J$1/$I$1</f>
        <v>4.5</v>
      </c>
      <c r="K4" s="1">
        <v>20</v>
      </c>
      <c r="L4" s="175">
        <f>K4*$L$1/$K$1</f>
        <v>5</v>
      </c>
      <c r="M4" s="177">
        <f>N4+P4+R4+T4</f>
        <v>0</v>
      </c>
      <c r="N4" s="1"/>
      <c r="O4" s="175">
        <f>N4*$O$1/$N$1</f>
        <v>0</v>
      </c>
      <c r="P4" s="1"/>
      <c r="Q4" s="175">
        <f>P4*$Q$1/$P$1</f>
        <v>0</v>
      </c>
      <c r="R4" s="1"/>
      <c r="S4" s="175">
        <f>R4*$S$1/$R$1</f>
        <v>0</v>
      </c>
      <c r="T4" s="1"/>
      <c r="U4" s="175">
        <f>T4*$U$1/$T$1</f>
        <v>0</v>
      </c>
      <c r="V4" s="177">
        <f>+W4+Y4+AA4</f>
        <v>0</v>
      </c>
      <c r="W4" s="1"/>
      <c r="X4" s="175">
        <f>W4*$X$1/$W$1</f>
        <v>0</v>
      </c>
      <c r="Y4" s="208"/>
      <c r="Z4" s="175">
        <f>Y4*$Z$1/$Y$1</f>
        <v>0</v>
      </c>
      <c r="AA4" s="1"/>
      <c r="AB4" s="175">
        <f>AA4*$AB$1/$AA$1</f>
        <v>0</v>
      </c>
      <c r="AC4" s="177">
        <f>+AD4+AF4</f>
        <v>0</v>
      </c>
      <c r="AD4" s="1"/>
      <c r="AE4" s="175">
        <f>AD4*$AE$1/$AD$1</f>
        <v>0</v>
      </c>
      <c r="AF4" s="208"/>
      <c r="AG4" s="175">
        <f>AF4*$AG$1/$AF$1</f>
        <v>0</v>
      </c>
      <c r="AH4" s="177">
        <f>+AI4+AK4</f>
        <v>40</v>
      </c>
      <c r="AI4" s="1">
        <f t="shared" ref="AI4:AI13" si="0">AR4*0.8</f>
        <v>40</v>
      </c>
      <c r="AJ4" s="175">
        <f>AI4*$AJ$1/$AI$1</f>
        <v>2.5</v>
      </c>
      <c r="AK4" s="1"/>
      <c r="AL4" s="175">
        <f>AK4*$AL$1/$AK$1</f>
        <v>0</v>
      </c>
      <c r="AN4" s="1">
        <v>1</v>
      </c>
      <c r="AO4" s="2" t="s">
        <v>347</v>
      </c>
      <c r="AP4" s="37">
        <f>IF(ISNUMBER(AR4), IF(AR4&lt;=60, 1, IF(AR4&lt;=70, 2, IF(AR4&lt;=85, 3, IF(AR4&lt;=96, 4, 5)))), 0)</f>
        <v>1</v>
      </c>
      <c r="AQ4" s="1"/>
      <c r="AR4" s="294">
        <f>IFERROR((AQ4/AS4)*50+50, " ")</f>
        <v>50</v>
      </c>
      <c r="AS4" s="187">
        <v>100</v>
      </c>
      <c r="AU4" s="1">
        <v>1</v>
      </c>
      <c r="AV4" s="2" t="s">
        <v>348</v>
      </c>
      <c r="AW4" s="199" t="b">
        <v>1</v>
      </c>
    </row>
    <row r="5" spans="2:49" ht="18.75" customHeight="1">
      <c r="C5" t="s">
        <v>349</v>
      </c>
      <c r="D5" s="177">
        <f t="shared" ref="D5:D6" si="1">+E5+G5+I5+K5</f>
        <v>0</v>
      </c>
      <c r="E5" s="1"/>
      <c r="F5" s="175">
        <f t="shared" ref="F5:F68" si="2">E5*$F$1/$E$1</f>
        <v>0</v>
      </c>
      <c r="G5" s="1"/>
      <c r="H5" s="175">
        <f t="shared" ref="H5:H68" si="3">G5*$H$1/$G$1</f>
        <v>0</v>
      </c>
      <c r="I5" s="1"/>
      <c r="J5" s="175">
        <f t="shared" ref="J5:J68" si="4">I5*$J$1/$I$1</f>
        <v>0</v>
      </c>
      <c r="K5" s="1"/>
      <c r="L5" s="175">
        <f t="shared" ref="L5:L68" si="5">K5*$L$1/$K$1</f>
        <v>0</v>
      </c>
      <c r="M5" s="177">
        <f>N5+P5+R5+T5</f>
        <v>0</v>
      </c>
      <c r="N5" s="1"/>
      <c r="O5" s="175">
        <f t="shared" ref="O5:O68" si="6">N5*$O$1/$N$1</f>
        <v>0</v>
      </c>
      <c r="P5" s="1"/>
      <c r="Q5" s="175">
        <f t="shared" ref="Q5:Q68" si="7">P5*$Q$1/$P$1</f>
        <v>0</v>
      </c>
      <c r="R5" s="1"/>
      <c r="S5" s="175">
        <f t="shared" ref="S5:S68" si="8">R5*$S$1/$R$1</f>
        <v>0</v>
      </c>
      <c r="T5" s="1"/>
      <c r="U5" s="175">
        <f t="shared" ref="U5:U68" si="9">T5*$U$1/$T$1</f>
        <v>0</v>
      </c>
      <c r="V5" s="177">
        <f>+W5+Y5+AA5</f>
        <v>0</v>
      </c>
      <c r="W5" s="1"/>
      <c r="X5" s="1">
        <f t="shared" ref="X5:X68" si="10">W5*$X$1/$W$1</f>
        <v>0</v>
      </c>
      <c r="Y5" s="1"/>
      <c r="Z5" s="1">
        <f t="shared" ref="Z5:Z68" si="11">Y5*$Z$1/$Y$1</f>
        <v>0</v>
      </c>
      <c r="AA5" s="1"/>
      <c r="AB5" s="175">
        <f t="shared" ref="AB5:AB68" si="12">AA5*$AB$1/$AA$1</f>
        <v>0</v>
      </c>
      <c r="AC5" s="177">
        <f t="shared" ref="AC5:AC6" si="13">+AD5+AF5</f>
        <v>0</v>
      </c>
      <c r="AD5" s="1"/>
      <c r="AE5" s="175">
        <f t="shared" ref="AE5:AE39" si="14">AD5*$AE$1/$AD$1</f>
        <v>0</v>
      </c>
      <c r="AF5" s="1"/>
      <c r="AG5" s="175">
        <f t="shared" ref="AG5:AG46" si="15">AF5*$AG$1/$AF$1</f>
        <v>0</v>
      </c>
      <c r="AH5" s="177">
        <f>+AI5+AK5</f>
        <v>40</v>
      </c>
      <c r="AI5" s="1">
        <f t="shared" si="0"/>
        <v>40</v>
      </c>
      <c r="AJ5" s="175">
        <f t="shared" ref="AJ5:AJ68" si="16">AI5*$AJ$1/$AI$1</f>
        <v>2.5</v>
      </c>
      <c r="AK5" s="1"/>
      <c r="AL5" s="1">
        <f t="shared" ref="AL5:AL68" si="17">AK5*$AL$1/$AK$1</f>
        <v>0</v>
      </c>
      <c r="AN5" s="25">
        <v>2</v>
      </c>
      <c r="AO5" t="s">
        <v>350</v>
      </c>
      <c r="AP5" s="37">
        <f>IF(ISNUMBER(AR5), IF(AR5&lt;=60, 1, IF(AR5&lt;=70, 2, IF(AR5&lt;=85, 3, IF(AR5&lt;=96, 4, 5)))), 0)</f>
        <v>1</v>
      </c>
      <c r="AQ5" s="1"/>
      <c r="AR5" s="294">
        <f>IFERROR((AQ5/AS5)*50+50, " ")</f>
        <v>50</v>
      </c>
      <c r="AS5" s="187">
        <v>50</v>
      </c>
      <c r="AU5" s="1">
        <v>2</v>
      </c>
      <c r="AV5" s="2" t="s">
        <v>351</v>
      </c>
      <c r="AW5" s="200" t="b">
        <v>1</v>
      </c>
    </row>
    <row r="6" spans="2:49" ht="18.75" customHeight="1">
      <c r="C6" t="s">
        <v>352</v>
      </c>
      <c r="D6" s="177">
        <f t="shared" si="1"/>
        <v>0</v>
      </c>
      <c r="E6" s="1"/>
      <c r="F6" s="175">
        <f t="shared" si="2"/>
        <v>0</v>
      </c>
      <c r="G6" s="1"/>
      <c r="H6" s="175">
        <f t="shared" si="3"/>
        <v>0</v>
      </c>
      <c r="I6" s="1"/>
      <c r="J6" s="175">
        <f t="shared" si="4"/>
        <v>0</v>
      </c>
      <c r="K6" s="1"/>
      <c r="L6" s="175">
        <f t="shared" si="5"/>
        <v>0</v>
      </c>
      <c r="M6" s="177">
        <f>N6+P6+R6+T6</f>
        <v>0</v>
      </c>
      <c r="N6" s="1"/>
      <c r="O6" s="175">
        <f t="shared" si="6"/>
        <v>0</v>
      </c>
      <c r="P6" s="1"/>
      <c r="Q6" s="1">
        <f t="shared" si="7"/>
        <v>0</v>
      </c>
      <c r="R6" s="1"/>
      <c r="S6" s="1">
        <f t="shared" si="8"/>
        <v>0</v>
      </c>
      <c r="T6" s="1"/>
      <c r="U6" s="175">
        <f>T6*$U$1/$T$1</f>
        <v>0</v>
      </c>
      <c r="V6" s="177">
        <f>+W6+Y6+AA6</f>
        <v>0</v>
      </c>
      <c r="W6" s="1"/>
      <c r="X6" s="1">
        <f t="shared" si="10"/>
        <v>0</v>
      </c>
      <c r="Y6" s="1"/>
      <c r="Z6" s="1">
        <f t="shared" si="11"/>
        <v>0</v>
      </c>
      <c r="AA6" s="1"/>
      <c r="AB6" s="175">
        <f t="shared" si="12"/>
        <v>0</v>
      </c>
      <c r="AC6" s="177">
        <f t="shared" si="13"/>
        <v>0</v>
      </c>
      <c r="AD6" s="1"/>
      <c r="AE6" s="175">
        <f t="shared" si="14"/>
        <v>0</v>
      </c>
      <c r="AF6" s="1"/>
      <c r="AG6" s="175">
        <f t="shared" si="15"/>
        <v>0</v>
      </c>
      <c r="AH6" s="177">
        <f t="shared" ref="AH6:AH13" si="18">+AI6+AK6</f>
        <v>40</v>
      </c>
      <c r="AI6" s="1">
        <f t="shared" si="0"/>
        <v>40</v>
      </c>
      <c r="AJ6" s="175">
        <f t="shared" si="16"/>
        <v>2.5</v>
      </c>
      <c r="AK6" s="1"/>
      <c r="AL6" s="1">
        <f t="shared" si="17"/>
        <v>0</v>
      </c>
      <c r="AN6" s="25">
        <v>2</v>
      </c>
      <c r="AO6" s="171" t="s">
        <v>353</v>
      </c>
      <c r="AP6" s="37">
        <f t="shared" ref="AP6:AP13" si="19">IF(ISNUMBER(AR6), IF(AR6&lt;=60, 1, IF(AR6&lt;=70, 2, IF(AR6&lt;=85, 3, IF(AR6&lt;=96, 4, 5)))), 0)</f>
        <v>1</v>
      </c>
      <c r="AQ6" s="1"/>
      <c r="AR6" s="294">
        <f t="shared" ref="AR6:AR13" si="20">IFERROR((AQ6/AS6)*50+50, " ")</f>
        <v>50</v>
      </c>
      <c r="AS6" s="187">
        <v>30</v>
      </c>
      <c r="AU6" s="1">
        <v>3</v>
      </c>
      <c r="AV6" s="2" t="s">
        <v>354</v>
      </c>
      <c r="AW6" s="200" t="b">
        <v>1</v>
      </c>
    </row>
    <row r="7" spans="2:49" ht="18.75" customHeight="1">
      <c r="E7" s="1"/>
      <c r="F7" s="175">
        <f t="shared" si="2"/>
        <v>0</v>
      </c>
      <c r="H7" s="175">
        <f t="shared" si="3"/>
        <v>0</v>
      </c>
      <c r="I7" s="1"/>
      <c r="J7" s="175">
        <f t="shared" si="4"/>
        <v>0</v>
      </c>
      <c r="K7" s="1"/>
      <c r="L7" s="175">
        <f t="shared" si="5"/>
        <v>0</v>
      </c>
      <c r="O7" s="175">
        <f t="shared" si="6"/>
        <v>0</v>
      </c>
      <c r="Q7" s="175">
        <f t="shared" si="7"/>
        <v>0</v>
      </c>
      <c r="S7" s="175">
        <f t="shared" si="8"/>
        <v>0</v>
      </c>
      <c r="U7" s="175">
        <f t="shared" si="9"/>
        <v>0</v>
      </c>
      <c r="X7" s="175">
        <f t="shared" si="10"/>
        <v>0</v>
      </c>
      <c r="Y7" s="175"/>
      <c r="Z7" s="175">
        <f t="shared" si="11"/>
        <v>0</v>
      </c>
      <c r="AB7" s="175">
        <f t="shared" si="12"/>
        <v>0</v>
      </c>
      <c r="AD7" s="25"/>
      <c r="AE7" s="175">
        <f t="shared" si="14"/>
        <v>0</v>
      </c>
      <c r="AF7" s="175"/>
      <c r="AG7" s="175">
        <f t="shared" si="15"/>
        <v>0</v>
      </c>
      <c r="AH7" s="177">
        <f t="shared" si="18"/>
        <v>40</v>
      </c>
      <c r="AI7" s="1">
        <f t="shared" si="0"/>
        <v>40</v>
      </c>
      <c r="AJ7" s="175">
        <f t="shared" si="16"/>
        <v>2.5</v>
      </c>
      <c r="AK7" s="1"/>
      <c r="AL7" s="175">
        <f t="shared" si="17"/>
        <v>0</v>
      </c>
      <c r="AN7" s="25">
        <v>2</v>
      </c>
      <c r="AO7" t="s">
        <v>355</v>
      </c>
      <c r="AP7" s="37">
        <f t="shared" si="19"/>
        <v>1</v>
      </c>
      <c r="AQ7" s="1"/>
      <c r="AR7" s="294">
        <f t="shared" si="20"/>
        <v>50</v>
      </c>
      <c r="AS7" s="187">
        <v>80</v>
      </c>
      <c r="AU7" s="1">
        <v>4</v>
      </c>
      <c r="AV7" s="2" t="s">
        <v>356</v>
      </c>
      <c r="AW7" s="200" t="b">
        <v>1</v>
      </c>
    </row>
    <row r="8" spans="2:49" ht="18.75" customHeight="1">
      <c r="C8" s="325"/>
      <c r="D8" s="325"/>
      <c r="E8" s="1"/>
      <c r="F8" s="175">
        <f t="shared" si="2"/>
        <v>0</v>
      </c>
      <c r="H8" s="175">
        <f t="shared" si="3"/>
        <v>0</v>
      </c>
      <c r="I8" s="1"/>
      <c r="J8" s="175">
        <f t="shared" si="4"/>
        <v>0</v>
      </c>
      <c r="K8" s="1"/>
      <c r="L8" s="175">
        <f t="shared" si="5"/>
        <v>0</v>
      </c>
      <c r="O8" s="175">
        <f t="shared" si="6"/>
        <v>0</v>
      </c>
      <c r="Q8" s="175">
        <f t="shared" si="7"/>
        <v>0</v>
      </c>
      <c r="S8" s="175">
        <f t="shared" si="8"/>
        <v>0</v>
      </c>
      <c r="U8" s="175">
        <f t="shared" si="9"/>
        <v>0</v>
      </c>
      <c r="X8" s="175">
        <f t="shared" si="10"/>
        <v>0</v>
      </c>
      <c r="Y8" s="175"/>
      <c r="Z8" s="175">
        <f t="shared" si="11"/>
        <v>0</v>
      </c>
      <c r="AB8" s="175">
        <f t="shared" si="12"/>
        <v>0</v>
      </c>
      <c r="AD8" s="25"/>
      <c r="AE8" s="175">
        <f t="shared" si="14"/>
        <v>0</v>
      </c>
      <c r="AF8" s="175"/>
      <c r="AG8" s="175">
        <f t="shared" si="15"/>
        <v>0</v>
      </c>
      <c r="AH8" s="177">
        <f t="shared" si="18"/>
        <v>40</v>
      </c>
      <c r="AI8" s="1">
        <f t="shared" si="0"/>
        <v>40</v>
      </c>
      <c r="AJ8" s="175">
        <f t="shared" si="16"/>
        <v>2.5</v>
      </c>
      <c r="AK8" s="1"/>
      <c r="AL8" s="175">
        <f t="shared" si="17"/>
        <v>0</v>
      </c>
      <c r="AN8" s="25">
        <v>2</v>
      </c>
      <c r="AO8" t="s">
        <v>357</v>
      </c>
      <c r="AP8" s="37">
        <f t="shared" si="19"/>
        <v>1</v>
      </c>
      <c r="AQ8" s="1"/>
      <c r="AR8" s="294">
        <f t="shared" si="20"/>
        <v>50</v>
      </c>
      <c r="AS8" s="187">
        <v>50</v>
      </c>
      <c r="AU8" s="1">
        <v>5</v>
      </c>
      <c r="AV8" s="2" t="s">
        <v>358</v>
      </c>
      <c r="AW8" s="200" t="b">
        <v>0</v>
      </c>
    </row>
    <row r="9" spans="2:49" ht="19.5" customHeight="1">
      <c r="C9" s="775"/>
      <c r="D9" s="775"/>
      <c r="E9" s="1"/>
      <c r="F9" s="175">
        <f t="shared" si="2"/>
        <v>0</v>
      </c>
      <c r="H9" s="175">
        <f t="shared" si="3"/>
        <v>0</v>
      </c>
      <c r="I9" s="1"/>
      <c r="J9" s="175">
        <f t="shared" si="4"/>
        <v>0</v>
      </c>
      <c r="K9" s="1"/>
      <c r="L9" s="175">
        <f t="shared" si="5"/>
        <v>0</v>
      </c>
      <c r="O9" s="175">
        <f t="shared" si="6"/>
        <v>0</v>
      </c>
      <c r="Q9" s="175">
        <f t="shared" si="7"/>
        <v>0</v>
      </c>
      <c r="S9" s="175">
        <f t="shared" si="8"/>
        <v>0</v>
      </c>
      <c r="U9" s="175">
        <f t="shared" si="9"/>
        <v>0</v>
      </c>
      <c r="X9" s="175">
        <f t="shared" si="10"/>
        <v>0</v>
      </c>
      <c r="Y9" s="175"/>
      <c r="Z9" s="175">
        <f t="shared" si="11"/>
        <v>0</v>
      </c>
      <c r="AB9" s="175">
        <f t="shared" si="12"/>
        <v>0</v>
      </c>
      <c r="AD9" s="25"/>
      <c r="AE9" s="175">
        <f t="shared" si="14"/>
        <v>0</v>
      </c>
      <c r="AF9" s="175"/>
      <c r="AG9" s="175">
        <f t="shared" si="15"/>
        <v>0</v>
      </c>
      <c r="AH9" s="177">
        <f t="shared" si="18"/>
        <v>40</v>
      </c>
      <c r="AI9" s="1">
        <f t="shared" si="0"/>
        <v>40</v>
      </c>
      <c r="AJ9" s="175">
        <f t="shared" si="16"/>
        <v>2.5</v>
      </c>
      <c r="AK9" s="1"/>
      <c r="AL9" s="175">
        <f t="shared" si="17"/>
        <v>0</v>
      </c>
      <c r="AN9" s="25">
        <v>2</v>
      </c>
      <c r="AO9" t="s">
        <v>359</v>
      </c>
      <c r="AP9" s="37">
        <f t="shared" si="19"/>
        <v>1</v>
      </c>
      <c r="AQ9" s="1"/>
      <c r="AR9" s="294">
        <f t="shared" si="20"/>
        <v>50</v>
      </c>
      <c r="AS9" s="187">
        <v>50</v>
      </c>
      <c r="AU9" s="1">
        <v>6</v>
      </c>
      <c r="AV9" s="2" t="s">
        <v>360</v>
      </c>
      <c r="AW9" s="200" t="b">
        <v>0</v>
      </c>
    </row>
    <row r="10" spans="2:49" ht="24" customHeight="1">
      <c r="C10" s="324"/>
      <c r="D10" s="324"/>
      <c r="E10" s="1"/>
      <c r="F10" s="175">
        <f t="shared" si="2"/>
        <v>0</v>
      </c>
      <c r="H10" s="175">
        <f t="shared" si="3"/>
        <v>0</v>
      </c>
      <c r="I10" s="1"/>
      <c r="J10" s="175">
        <f t="shared" si="4"/>
        <v>0</v>
      </c>
      <c r="K10" s="1"/>
      <c r="L10" s="175">
        <f t="shared" si="5"/>
        <v>0</v>
      </c>
      <c r="O10" s="175">
        <f t="shared" si="6"/>
        <v>0</v>
      </c>
      <c r="Q10" s="175">
        <f t="shared" si="7"/>
        <v>0</v>
      </c>
      <c r="S10" s="175">
        <f t="shared" si="8"/>
        <v>0</v>
      </c>
      <c r="U10" s="175">
        <f t="shared" si="9"/>
        <v>0</v>
      </c>
      <c r="X10" s="175">
        <f t="shared" si="10"/>
        <v>0</v>
      </c>
      <c r="Y10" s="175"/>
      <c r="Z10" s="175">
        <f t="shared" si="11"/>
        <v>0</v>
      </c>
      <c r="AB10" s="175">
        <f t="shared" si="12"/>
        <v>0</v>
      </c>
      <c r="AD10" s="25"/>
      <c r="AE10" s="175">
        <f t="shared" si="14"/>
        <v>0</v>
      </c>
      <c r="AF10" s="175"/>
      <c r="AG10" s="175">
        <f t="shared" si="15"/>
        <v>0</v>
      </c>
      <c r="AH10" s="177">
        <f t="shared" si="18"/>
        <v>40</v>
      </c>
      <c r="AI10" s="1">
        <f t="shared" si="0"/>
        <v>40</v>
      </c>
      <c r="AJ10" s="175">
        <f t="shared" si="16"/>
        <v>2.5</v>
      </c>
      <c r="AK10" s="1"/>
      <c r="AL10" s="175">
        <f t="shared" si="17"/>
        <v>0</v>
      </c>
      <c r="AN10" s="25">
        <v>2</v>
      </c>
      <c r="AO10" t="s">
        <v>361</v>
      </c>
      <c r="AP10" s="37">
        <f t="shared" si="19"/>
        <v>1</v>
      </c>
      <c r="AQ10" s="1"/>
      <c r="AR10" s="294">
        <f t="shared" si="20"/>
        <v>50</v>
      </c>
      <c r="AS10" s="187">
        <v>30</v>
      </c>
      <c r="AU10" s="1">
        <v>7</v>
      </c>
      <c r="AV10" s="2" t="s">
        <v>362</v>
      </c>
      <c r="AW10" s="200" t="b">
        <v>0</v>
      </c>
    </row>
    <row r="11" spans="2:49" ht="18.75" customHeight="1">
      <c r="C11" s="775"/>
      <c r="D11" s="775"/>
      <c r="E11" s="1"/>
      <c r="F11" s="175">
        <f t="shared" si="2"/>
        <v>0</v>
      </c>
      <c r="H11" s="175">
        <f t="shared" si="3"/>
        <v>0</v>
      </c>
      <c r="I11" s="1"/>
      <c r="J11" s="175">
        <f t="shared" si="4"/>
        <v>0</v>
      </c>
      <c r="K11" s="1"/>
      <c r="L11" s="175">
        <f t="shared" si="5"/>
        <v>0</v>
      </c>
      <c r="O11" s="175">
        <f t="shared" si="6"/>
        <v>0</v>
      </c>
      <c r="Q11" s="175">
        <f t="shared" si="7"/>
        <v>0</v>
      </c>
      <c r="S11" s="175">
        <f t="shared" si="8"/>
        <v>0</v>
      </c>
      <c r="U11" s="175">
        <f t="shared" si="9"/>
        <v>0</v>
      </c>
      <c r="X11" s="175">
        <f t="shared" si="10"/>
        <v>0</v>
      </c>
      <c r="Z11" s="175">
        <f t="shared" si="11"/>
        <v>0</v>
      </c>
      <c r="AB11" s="175">
        <f t="shared" si="12"/>
        <v>0</v>
      </c>
      <c r="AD11" s="25"/>
      <c r="AE11" s="175">
        <f t="shared" si="14"/>
        <v>0</v>
      </c>
      <c r="AF11" s="25"/>
      <c r="AG11" s="175">
        <f t="shared" si="15"/>
        <v>0</v>
      </c>
      <c r="AH11" s="177">
        <f t="shared" si="18"/>
        <v>40</v>
      </c>
      <c r="AI11" s="1">
        <f t="shared" si="0"/>
        <v>40</v>
      </c>
      <c r="AJ11" s="175">
        <f t="shared" si="16"/>
        <v>2.5</v>
      </c>
      <c r="AK11" s="1"/>
      <c r="AL11" s="175">
        <f t="shared" si="17"/>
        <v>0</v>
      </c>
      <c r="AN11" s="25">
        <v>2</v>
      </c>
      <c r="AO11" t="s">
        <v>363</v>
      </c>
      <c r="AP11" s="37">
        <f t="shared" si="19"/>
        <v>1</v>
      </c>
      <c r="AQ11" s="1"/>
      <c r="AR11" s="294">
        <f t="shared" si="20"/>
        <v>50</v>
      </c>
      <c r="AS11" s="187">
        <v>50</v>
      </c>
      <c r="AU11" s="1">
        <v>8</v>
      </c>
      <c r="AV11" s="2" t="s">
        <v>364</v>
      </c>
      <c r="AW11" s="200" t="b">
        <v>0</v>
      </c>
    </row>
    <row r="12" spans="2:49" ht="18.75" customHeight="1">
      <c r="C12" s="325"/>
      <c r="D12" s="325"/>
      <c r="E12" s="1"/>
      <c r="F12" s="175">
        <f t="shared" si="2"/>
        <v>0</v>
      </c>
      <c r="H12" s="175">
        <f t="shared" si="3"/>
        <v>0</v>
      </c>
      <c r="I12" s="1"/>
      <c r="J12" s="175">
        <f t="shared" si="4"/>
        <v>0</v>
      </c>
      <c r="K12" s="1"/>
      <c r="L12" s="175">
        <f t="shared" si="5"/>
        <v>0</v>
      </c>
      <c r="O12" s="175">
        <f t="shared" si="6"/>
        <v>0</v>
      </c>
      <c r="Q12" s="175">
        <f t="shared" si="7"/>
        <v>0</v>
      </c>
      <c r="S12" s="175">
        <f t="shared" si="8"/>
        <v>0</v>
      </c>
      <c r="U12" s="175">
        <f t="shared" si="9"/>
        <v>0</v>
      </c>
      <c r="X12" s="175">
        <f t="shared" si="10"/>
        <v>0</v>
      </c>
      <c r="Z12" s="175">
        <f t="shared" si="11"/>
        <v>0</v>
      </c>
      <c r="AB12" s="175">
        <f t="shared" si="12"/>
        <v>0</v>
      </c>
      <c r="AD12" s="25"/>
      <c r="AE12" s="175">
        <f t="shared" si="14"/>
        <v>0</v>
      </c>
      <c r="AF12" s="25"/>
      <c r="AG12" s="175">
        <f t="shared" si="15"/>
        <v>0</v>
      </c>
      <c r="AH12" s="177">
        <f t="shared" si="18"/>
        <v>40</v>
      </c>
      <c r="AI12" s="1">
        <f t="shared" si="0"/>
        <v>40</v>
      </c>
      <c r="AJ12" s="175">
        <f t="shared" si="16"/>
        <v>2.5</v>
      </c>
      <c r="AK12" s="1"/>
      <c r="AL12" s="175">
        <f t="shared" si="17"/>
        <v>0</v>
      </c>
      <c r="AN12" s="25">
        <v>2</v>
      </c>
      <c r="AO12" t="s">
        <v>365</v>
      </c>
      <c r="AP12" s="37">
        <f t="shared" si="19"/>
        <v>1</v>
      </c>
      <c r="AQ12" s="1"/>
      <c r="AR12" s="294">
        <f t="shared" si="20"/>
        <v>50</v>
      </c>
      <c r="AS12" s="187">
        <v>50</v>
      </c>
      <c r="AU12" s="1">
        <v>9</v>
      </c>
      <c r="AV12" s="2" t="s">
        <v>366</v>
      </c>
      <c r="AW12" s="200" t="b">
        <v>0</v>
      </c>
    </row>
    <row r="13" spans="2:49" ht="21.75" customHeight="1">
      <c r="C13" s="775"/>
      <c r="D13" s="775"/>
      <c r="E13" s="1"/>
      <c r="F13" s="175">
        <f t="shared" si="2"/>
        <v>0</v>
      </c>
      <c r="H13" s="175">
        <f t="shared" si="3"/>
        <v>0</v>
      </c>
      <c r="I13" s="1"/>
      <c r="J13" s="175">
        <f t="shared" si="4"/>
        <v>0</v>
      </c>
      <c r="K13" s="1"/>
      <c r="L13" s="175">
        <f t="shared" si="5"/>
        <v>0</v>
      </c>
      <c r="O13" s="175">
        <f t="shared" si="6"/>
        <v>0</v>
      </c>
      <c r="Q13" s="175">
        <f t="shared" si="7"/>
        <v>0</v>
      </c>
      <c r="S13" s="175">
        <f t="shared" si="8"/>
        <v>0</v>
      </c>
      <c r="U13" s="175">
        <f t="shared" si="9"/>
        <v>0</v>
      </c>
      <c r="X13" s="175">
        <f t="shared" si="10"/>
        <v>0</v>
      </c>
      <c r="Z13" s="175">
        <f t="shared" si="11"/>
        <v>0</v>
      </c>
      <c r="AB13" s="175">
        <f t="shared" si="12"/>
        <v>0</v>
      </c>
      <c r="AD13" s="25"/>
      <c r="AE13" s="175">
        <f t="shared" si="14"/>
        <v>0</v>
      </c>
      <c r="AF13" s="25"/>
      <c r="AG13" s="175">
        <f t="shared" si="15"/>
        <v>0</v>
      </c>
      <c r="AH13" s="177">
        <f t="shared" si="18"/>
        <v>40</v>
      </c>
      <c r="AI13" s="1">
        <f t="shared" si="0"/>
        <v>40</v>
      </c>
      <c r="AJ13" s="175">
        <f t="shared" si="16"/>
        <v>2.5</v>
      </c>
      <c r="AK13" s="1"/>
      <c r="AL13" s="175">
        <f t="shared" si="17"/>
        <v>0</v>
      </c>
      <c r="AN13" s="25">
        <v>2</v>
      </c>
      <c r="AO13" t="s">
        <v>367</v>
      </c>
      <c r="AP13" s="37">
        <f t="shared" si="19"/>
        <v>1</v>
      </c>
      <c r="AQ13" s="1"/>
      <c r="AR13" s="294">
        <f t="shared" si="20"/>
        <v>50</v>
      </c>
      <c r="AS13" s="329">
        <v>50</v>
      </c>
      <c r="AU13" s="1">
        <v>10</v>
      </c>
      <c r="AV13" s="2" t="s">
        <v>368</v>
      </c>
      <c r="AW13" s="200" t="b">
        <v>0</v>
      </c>
    </row>
    <row r="14" spans="2:49" ht="18.75" customHeight="1">
      <c r="C14" s="775"/>
      <c r="D14" s="775"/>
      <c r="E14" s="1"/>
      <c r="F14" s="175">
        <f t="shared" si="2"/>
        <v>0</v>
      </c>
      <c r="H14" s="175">
        <f t="shared" si="3"/>
        <v>0</v>
      </c>
      <c r="I14" s="1"/>
      <c r="J14" s="175">
        <f t="shared" si="4"/>
        <v>0</v>
      </c>
      <c r="K14" s="1"/>
      <c r="L14" s="175">
        <f t="shared" si="5"/>
        <v>0</v>
      </c>
      <c r="O14" s="175">
        <f t="shared" si="6"/>
        <v>0</v>
      </c>
      <c r="Q14" s="175">
        <f t="shared" si="7"/>
        <v>0</v>
      </c>
      <c r="S14" s="175">
        <f t="shared" si="8"/>
        <v>0</v>
      </c>
      <c r="U14" s="175">
        <f t="shared" si="9"/>
        <v>0</v>
      </c>
      <c r="X14" s="175">
        <f t="shared" si="10"/>
        <v>0</v>
      </c>
      <c r="Z14" s="175">
        <f t="shared" si="11"/>
        <v>0</v>
      </c>
      <c r="AB14" s="175">
        <f t="shared" si="12"/>
        <v>0</v>
      </c>
      <c r="AD14" s="25"/>
      <c r="AE14" s="175">
        <f t="shared" si="14"/>
        <v>0</v>
      </c>
      <c r="AF14" s="25"/>
      <c r="AG14" s="175">
        <f t="shared" si="15"/>
        <v>0</v>
      </c>
      <c r="AJ14" s="175">
        <f t="shared" si="16"/>
        <v>0</v>
      </c>
      <c r="AL14" s="175">
        <f t="shared" si="17"/>
        <v>0</v>
      </c>
      <c r="AQ14" s="1"/>
      <c r="AR14" s="188"/>
      <c r="AS14" s="188"/>
      <c r="AU14" s="1">
        <v>11</v>
      </c>
      <c r="AV14" s="2" t="s">
        <v>369</v>
      </c>
      <c r="AW14" s="200" t="b">
        <v>0</v>
      </c>
    </row>
    <row r="15" spans="2:49" ht="18.75" customHeight="1">
      <c r="C15" s="775"/>
      <c r="D15" s="775"/>
      <c r="E15" s="1"/>
      <c r="F15" s="175">
        <f t="shared" si="2"/>
        <v>0</v>
      </c>
      <c r="H15" s="175">
        <f t="shared" si="3"/>
        <v>0</v>
      </c>
      <c r="I15" s="1"/>
      <c r="J15" s="175">
        <f t="shared" si="4"/>
        <v>0</v>
      </c>
      <c r="K15" s="1"/>
      <c r="L15" s="175">
        <f t="shared" si="5"/>
        <v>0</v>
      </c>
      <c r="O15" s="175">
        <f t="shared" si="6"/>
        <v>0</v>
      </c>
      <c r="Q15" s="175">
        <f t="shared" si="7"/>
        <v>0</v>
      </c>
      <c r="S15" s="175">
        <f t="shared" si="8"/>
        <v>0</v>
      </c>
      <c r="U15" s="175">
        <f t="shared" si="9"/>
        <v>0</v>
      </c>
      <c r="X15" s="175">
        <f t="shared" si="10"/>
        <v>0</v>
      </c>
      <c r="Z15" s="175">
        <f t="shared" si="11"/>
        <v>0</v>
      </c>
      <c r="AB15" s="175">
        <f t="shared" si="12"/>
        <v>0</v>
      </c>
      <c r="AD15" s="25"/>
      <c r="AE15" s="175">
        <f t="shared" si="14"/>
        <v>0</v>
      </c>
      <c r="AF15" s="25"/>
      <c r="AG15" s="175">
        <f t="shared" si="15"/>
        <v>0</v>
      </c>
      <c r="AJ15" s="175">
        <f t="shared" si="16"/>
        <v>0</v>
      </c>
      <c r="AL15" s="175">
        <f t="shared" si="17"/>
        <v>0</v>
      </c>
      <c r="AR15" s="188"/>
      <c r="AS15" s="188"/>
      <c r="AU15" s="1">
        <v>12</v>
      </c>
      <c r="AV15" s="2" t="s">
        <v>370</v>
      </c>
      <c r="AW15" s="200" t="b">
        <v>0</v>
      </c>
    </row>
    <row r="16" spans="2:49" ht="18.75" customHeight="1">
      <c r="C16" s="775"/>
      <c r="D16" s="775"/>
      <c r="E16" s="1"/>
      <c r="F16" s="175">
        <f t="shared" si="2"/>
        <v>0</v>
      </c>
      <c r="H16" s="175">
        <f t="shared" si="3"/>
        <v>0</v>
      </c>
      <c r="I16" s="1"/>
      <c r="J16" s="175">
        <f t="shared" si="4"/>
        <v>0</v>
      </c>
      <c r="K16" s="1"/>
      <c r="L16" s="175">
        <f t="shared" si="5"/>
        <v>0</v>
      </c>
      <c r="O16" s="175">
        <f t="shared" si="6"/>
        <v>0</v>
      </c>
      <c r="Q16" s="175">
        <f t="shared" si="7"/>
        <v>0</v>
      </c>
      <c r="S16" s="175">
        <f t="shared" si="8"/>
        <v>0</v>
      </c>
      <c r="U16" s="175">
        <f t="shared" si="9"/>
        <v>0</v>
      </c>
      <c r="X16" s="175">
        <f t="shared" si="10"/>
        <v>0</v>
      </c>
      <c r="Z16" s="175">
        <f t="shared" si="11"/>
        <v>0</v>
      </c>
      <c r="AB16" s="175">
        <f t="shared" si="12"/>
        <v>0</v>
      </c>
      <c r="AD16" s="25"/>
      <c r="AE16" s="175">
        <f t="shared" si="14"/>
        <v>0</v>
      </c>
      <c r="AF16" s="25"/>
      <c r="AG16" s="175">
        <f t="shared" si="15"/>
        <v>0</v>
      </c>
      <c r="AJ16" s="175">
        <f t="shared" si="16"/>
        <v>0</v>
      </c>
      <c r="AL16" s="175">
        <f t="shared" si="17"/>
        <v>0</v>
      </c>
      <c r="AR16" s="188"/>
      <c r="AS16" s="188"/>
      <c r="AU16" s="1">
        <v>13</v>
      </c>
      <c r="AV16" s="2" t="s">
        <v>371</v>
      </c>
      <c r="AW16" s="200" t="b">
        <v>0</v>
      </c>
    </row>
    <row r="17" spans="3:49" ht="18.75" customHeight="1">
      <c r="C17" s="775"/>
      <c r="D17" s="775"/>
      <c r="E17" s="1"/>
      <c r="F17" s="175">
        <f t="shared" si="2"/>
        <v>0</v>
      </c>
      <c r="H17" s="175">
        <f t="shared" si="3"/>
        <v>0</v>
      </c>
      <c r="I17" s="1"/>
      <c r="J17" s="175">
        <f t="shared" si="4"/>
        <v>0</v>
      </c>
      <c r="K17" s="1"/>
      <c r="L17" s="175">
        <f t="shared" si="5"/>
        <v>0</v>
      </c>
      <c r="O17" s="175">
        <f t="shared" si="6"/>
        <v>0</v>
      </c>
      <c r="Q17" s="175">
        <f t="shared" si="7"/>
        <v>0</v>
      </c>
      <c r="S17" s="175">
        <f t="shared" si="8"/>
        <v>0</v>
      </c>
      <c r="U17" s="175">
        <f t="shared" si="9"/>
        <v>0</v>
      </c>
      <c r="X17" s="175">
        <f t="shared" si="10"/>
        <v>0</v>
      </c>
      <c r="Z17" s="175">
        <f t="shared" si="11"/>
        <v>0</v>
      </c>
      <c r="AB17" s="175">
        <f t="shared" si="12"/>
        <v>0</v>
      </c>
      <c r="AD17" s="25"/>
      <c r="AE17" s="175">
        <f t="shared" si="14"/>
        <v>0</v>
      </c>
      <c r="AF17" s="25"/>
      <c r="AG17" s="175">
        <f t="shared" si="15"/>
        <v>0</v>
      </c>
      <c r="AJ17" s="175">
        <f t="shared" si="16"/>
        <v>0</v>
      </c>
      <c r="AL17" s="175">
        <f t="shared" si="17"/>
        <v>0</v>
      </c>
      <c r="AR17" s="188"/>
      <c r="AS17" s="188"/>
      <c r="AU17" s="1">
        <v>14</v>
      </c>
      <c r="AV17" s="2" t="s">
        <v>372</v>
      </c>
      <c r="AW17" s="200" t="b">
        <v>0</v>
      </c>
    </row>
    <row r="18" spans="3:49" ht="18.75" customHeight="1">
      <c r="C18" s="775"/>
      <c r="D18" s="775"/>
      <c r="E18" s="1"/>
      <c r="F18" s="175">
        <f t="shared" si="2"/>
        <v>0</v>
      </c>
      <c r="H18" s="175">
        <f t="shared" si="3"/>
        <v>0</v>
      </c>
      <c r="I18" s="1"/>
      <c r="J18" s="175">
        <f t="shared" si="4"/>
        <v>0</v>
      </c>
      <c r="K18" s="1"/>
      <c r="L18" s="175">
        <f t="shared" si="5"/>
        <v>0</v>
      </c>
      <c r="O18" s="175">
        <f t="shared" si="6"/>
        <v>0</v>
      </c>
      <c r="Q18" s="175">
        <f t="shared" si="7"/>
        <v>0</v>
      </c>
      <c r="S18" s="175">
        <f t="shared" si="8"/>
        <v>0</v>
      </c>
      <c r="U18" s="175">
        <f t="shared" si="9"/>
        <v>0</v>
      </c>
      <c r="X18" s="175">
        <f t="shared" si="10"/>
        <v>0</v>
      </c>
      <c r="Z18" s="175">
        <f t="shared" si="11"/>
        <v>0</v>
      </c>
      <c r="AB18" s="175">
        <f t="shared" si="12"/>
        <v>0</v>
      </c>
      <c r="AD18" s="25"/>
      <c r="AE18" s="175">
        <f t="shared" si="14"/>
        <v>0</v>
      </c>
      <c r="AF18" s="25"/>
      <c r="AG18" s="175">
        <f t="shared" si="15"/>
        <v>0</v>
      </c>
      <c r="AJ18" s="175">
        <f t="shared" si="16"/>
        <v>0</v>
      </c>
      <c r="AL18" s="175">
        <f t="shared" si="17"/>
        <v>0</v>
      </c>
      <c r="AR18" s="188"/>
      <c r="AS18" s="188"/>
      <c r="AU18" s="1">
        <v>15</v>
      </c>
      <c r="AV18" s="2" t="s">
        <v>373</v>
      </c>
      <c r="AW18" s="200" t="b">
        <v>0</v>
      </c>
    </row>
    <row r="19" spans="3:49" ht="18.75" customHeight="1">
      <c r="C19" s="775"/>
      <c r="D19" s="775"/>
      <c r="E19" s="1"/>
      <c r="F19" s="175">
        <f t="shared" si="2"/>
        <v>0</v>
      </c>
      <c r="H19" s="175">
        <f t="shared" si="3"/>
        <v>0</v>
      </c>
      <c r="I19" s="1"/>
      <c r="J19" s="175">
        <f t="shared" si="4"/>
        <v>0</v>
      </c>
      <c r="K19" s="1"/>
      <c r="L19" s="175">
        <f t="shared" si="5"/>
        <v>0</v>
      </c>
      <c r="O19" s="175">
        <f t="shared" si="6"/>
        <v>0</v>
      </c>
      <c r="Q19" s="175">
        <f t="shared" si="7"/>
        <v>0</v>
      </c>
      <c r="S19" s="175">
        <f t="shared" si="8"/>
        <v>0</v>
      </c>
      <c r="U19" s="175">
        <f t="shared" si="9"/>
        <v>0</v>
      </c>
      <c r="X19" s="175">
        <f t="shared" si="10"/>
        <v>0</v>
      </c>
      <c r="Z19" s="175">
        <f t="shared" si="11"/>
        <v>0</v>
      </c>
      <c r="AB19" s="175">
        <f t="shared" si="12"/>
        <v>0</v>
      </c>
      <c r="AD19" s="25"/>
      <c r="AE19" s="175">
        <f t="shared" si="14"/>
        <v>0</v>
      </c>
      <c r="AF19" s="25"/>
      <c r="AG19" s="175">
        <f t="shared" si="15"/>
        <v>0</v>
      </c>
      <c r="AJ19" s="175">
        <f t="shared" si="16"/>
        <v>0</v>
      </c>
      <c r="AL19" s="175">
        <f t="shared" si="17"/>
        <v>0</v>
      </c>
      <c r="AR19" s="188"/>
      <c r="AS19" s="188"/>
      <c r="AU19" s="1"/>
    </row>
    <row r="20" spans="3:49" ht="18.75" customHeight="1">
      <c r="C20" s="767"/>
      <c r="D20" s="767"/>
      <c r="E20" s="1"/>
      <c r="F20" s="175">
        <f t="shared" si="2"/>
        <v>0</v>
      </c>
      <c r="H20" s="175">
        <f t="shared" si="3"/>
        <v>0</v>
      </c>
      <c r="J20" s="175">
        <f t="shared" si="4"/>
        <v>0</v>
      </c>
      <c r="L20" s="175">
        <f t="shared" si="5"/>
        <v>0</v>
      </c>
      <c r="O20" s="175">
        <f t="shared" si="6"/>
        <v>0</v>
      </c>
      <c r="Q20" s="175">
        <f t="shared" si="7"/>
        <v>0</v>
      </c>
      <c r="S20" s="175">
        <f t="shared" si="8"/>
        <v>0</v>
      </c>
      <c r="U20" s="175">
        <f t="shared" si="9"/>
        <v>0</v>
      </c>
      <c r="X20" s="175">
        <f t="shared" si="10"/>
        <v>0</v>
      </c>
      <c r="Z20" s="175">
        <f t="shared" si="11"/>
        <v>0</v>
      </c>
      <c r="AB20" s="175">
        <f t="shared" si="12"/>
        <v>0</v>
      </c>
      <c r="AD20" s="25"/>
      <c r="AE20" s="175">
        <f t="shared" si="14"/>
        <v>0</v>
      </c>
      <c r="AF20" s="25"/>
      <c r="AG20" s="175">
        <f t="shared" si="15"/>
        <v>0</v>
      </c>
      <c r="AJ20" s="175">
        <f t="shared" si="16"/>
        <v>0</v>
      </c>
      <c r="AL20" s="175">
        <f t="shared" si="17"/>
        <v>0</v>
      </c>
      <c r="AR20" s="188"/>
      <c r="AS20" s="188"/>
    </row>
    <row r="21" spans="3:49" ht="18.75" customHeight="1">
      <c r="C21" s="775"/>
      <c r="D21" s="775"/>
      <c r="E21" s="1"/>
      <c r="F21" s="175">
        <f t="shared" si="2"/>
        <v>0</v>
      </c>
      <c r="H21" s="175">
        <f t="shared" si="3"/>
        <v>0</v>
      </c>
      <c r="J21" s="175">
        <f t="shared" si="4"/>
        <v>0</v>
      </c>
      <c r="L21" s="175">
        <f t="shared" si="5"/>
        <v>0</v>
      </c>
      <c r="O21" s="175">
        <f t="shared" si="6"/>
        <v>0</v>
      </c>
      <c r="Q21" s="175">
        <f t="shared" si="7"/>
        <v>0</v>
      </c>
      <c r="S21" s="175">
        <f t="shared" si="8"/>
        <v>0</v>
      </c>
      <c r="U21" s="175">
        <f t="shared" si="9"/>
        <v>0</v>
      </c>
      <c r="X21" s="175">
        <f t="shared" si="10"/>
        <v>0</v>
      </c>
      <c r="Z21" s="175">
        <f t="shared" si="11"/>
        <v>0</v>
      </c>
      <c r="AB21" s="175">
        <f t="shared" si="12"/>
        <v>0</v>
      </c>
      <c r="AD21" s="25"/>
      <c r="AE21" s="175">
        <f t="shared" si="14"/>
        <v>0</v>
      </c>
      <c r="AF21" s="25"/>
      <c r="AG21" s="175">
        <f t="shared" si="15"/>
        <v>0</v>
      </c>
      <c r="AJ21" s="175">
        <f t="shared" si="16"/>
        <v>0</v>
      </c>
      <c r="AL21" s="175">
        <f t="shared" si="17"/>
        <v>0</v>
      </c>
      <c r="AR21" s="188"/>
      <c r="AS21" s="188"/>
    </row>
    <row r="22" spans="3:49" ht="18.75" customHeight="1">
      <c r="C22" s="775"/>
      <c r="D22" s="775"/>
      <c r="E22" s="1"/>
      <c r="F22" s="175">
        <f t="shared" si="2"/>
        <v>0</v>
      </c>
      <c r="H22" s="175">
        <f t="shared" si="3"/>
        <v>0</v>
      </c>
      <c r="J22" s="175">
        <f t="shared" si="4"/>
        <v>0</v>
      </c>
      <c r="L22" s="175">
        <f t="shared" si="5"/>
        <v>0</v>
      </c>
      <c r="O22" s="175">
        <f t="shared" si="6"/>
        <v>0</v>
      </c>
      <c r="Q22" s="175">
        <f t="shared" si="7"/>
        <v>0</v>
      </c>
      <c r="S22" s="175">
        <f t="shared" si="8"/>
        <v>0</v>
      </c>
      <c r="U22" s="175">
        <f t="shared" si="9"/>
        <v>0</v>
      </c>
      <c r="X22" s="175">
        <f t="shared" si="10"/>
        <v>0</v>
      </c>
      <c r="Z22" s="175">
        <f t="shared" si="11"/>
        <v>0</v>
      </c>
      <c r="AB22" s="175">
        <f t="shared" si="12"/>
        <v>0</v>
      </c>
      <c r="AD22" s="25"/>
      <c r="AE22" s="175">
        <f t="shared" si="14"/>
        <v>0</v>
      </c>
      <c r="AF22" s="25"/>
      <c r="AG22" s="175">
        <f t="shared" si="15"/>
        <v>0</v>
      </c>
      <c r="AJ22" s="175">
        <f t="shared" si="16"/>
        <v>0</v>
      </c>
      <c r="AL22" s="175">
        <f t="shared" si="17"/>
        <v>0</v>
      </c>
      <c r="AR22" s="188"/>
      <c r="AS22" s="188"/>
    </row>
    <row r="23" spans="3:49" ht="18.75" customHeight="1">
      <c r="E23" s="1"/>
      <c r="F23" s="175">
        <f t="shared" si="2"/>
        <v>0</v>
      </c>
      <c r="H23" s="175">
        <f t="shared" si="3"/>
        <v>0</v>
      </c>
      <c r="J23" s="175">
        <f t="shared" si="4"/>
        <v>0</v>
      </c>
      <c r="L23" s="175">
        <f t="shared" si="5"/>
        <v>0</v>
      </c>
      <c r="O23" s="175">
        <f t="shared" si="6"/>
        <v>0</v>
      </c>
      <c r="Q23" s="175">
        <f t="shared" si="7"/>
        <v>0</v>
      </c>
      <c r="S23" s="175">
        <f t="shared" si="8"/>
        <v>0</v>
      </c>
      <c r="U23" s="175">
        <f t="shared" si="9"/>
        <v>0</v>
      </c>
      <c r="X23" s="175">
        <f t="shared" si="10"/>
        <v>0</v>
      </c>
      <c r="Z23" s="175">
        <f t="shared" si="11"/>
        <v>0</v>
      </c>
      <c r="AB23" s="175">
        <f t="shared" si="12"/>
        <v>0</v>
      </c>
      <c r="AD23" s="25"/>
      <c r="AE23" s="175">
        <f t="shared" si="14"/>
        <v>0</v>
      </c>
      <c r="AF23" s="25"/>
      <c r="AG23" s="175">
        <f t="shared" si="15"/>
        <v>0</v>
      </c>
      <c r="AJ23" s="175">
        <f t="shared" si="16"/>
        <v>0</v>
      </c>
      <c r="AL23" s="175">
        <f t="shared" si="17"/>
        <v>0</v>
      </c>
      <c r="AR23" s="188"/>
      <c r="AS23" s="188"/>
    </row>
    <row r="24" spans="3:49" ht="18.75" customHeight="1">
      <c r="E24" s="1"/>
      <c r="F24" s="175">
        <f t="shared" si="2"/>
        <v>0</v>
      </c>
      <c r="H24" s="175">
        <f t="shared" si="3"/>
        <v>0</v>
      </c>
      <c r="J24" s="175">
        <f t="shared" si="4"/>
        <v>0</v>
      </c>
      <c r="L24" s="175">
        <f t="shared" si="5"/>
        <v>0</v>
      </c>
      <c r="O24" s="175">
        <f t="shared" si="6"/>
        <v>0</v>
      </c>
      <c r="Q24" s="175">
        <f t="shared" si="7"/>
        <v>0</v>
      </c>
      <c r="S24" s="175">
        <f t="shared" si="8"/>
        <v>0</v>
      </c>
      <c r="U24" s="175">
        <f t="shared" si="9"/>
        <v>0</v>
      </c>
      <c r="X24" s="175">
        <f t="shared" si="10"/>
        <v>0</v>
      </c>
      <c r="Z24" s="175">
        <f t="shared" si="11"/>
        <v>0</v>
      </c>
      <c r="AB24" s="175">
        <f t="shared" si="12"/>
        <v>0</v>
      </c>
      <c r="AD24" s="25"/>
      <c r="AE24" s="175">
        <f t="shared" si="14"/>
        <v>0</v>
      </c>
      <c r="AF24" s="25"/>
      <c r="AG24" s="175">
        <f t="shared" si="15"/>
        <v>0</v>
      </c>
      <c r="AJ24" s="175">
        <f t="shared" si="16"/>
        <v>0</v>
      </c>
      <c r="AL24" s="175">
        <f t="shared" si="17"/>
        <v>0</v>
      </c>
      <c r="AR24" s="188"/>
      <c r="AS24" s="188"/>
    </row>
    <row r="25" spans="3:49" ht="18.75" customHeight="1">
      <c r="E25" s="1"/>
      <c r="F25" s="175">
        <f t="shared" si="2"/>
        <v>0</v>
      </c>
      <c r="H25" s="175">
        <f t="shared" si="3"/>
        <v>0</v>
      </c>
      <c r="J25" s="175">
        <f t="shared" si="4"/>
        <v>0</v>
      </c>
      <c r="L25" s="175">
        <f t="shared" si="5"/>
        <v>0</v>
      </c>
      <c r="O25" s="175">
        <f t="shared" si="6"/>
        <v>0</v>
      </c>
      <c r="Q25" s="175">
        <f t="shared" si="7"/>
        <v>0</v>
      </c>
      <c r="S25" s="175">
        <f t="shared" si="8"/>
        <v>0</v>
      </c>
      <c r="U25" s="175">
        <f t="shared" si="9"/>
        <v>0</v>
      </c>
      <c r="X25" s="175">
        <f t="shared" si="10"/>
        <v>0</v>
      </c>
      <c r="Z25" s="175">
        <f t="shared" si="11"/>
        <v>0</v>
      </c>
      <c r="AB25" s="175">
        <f t="shared" si="12"/>
        <v>0</v>
      </c>
      <c r="AD25" s="25"/>
      <c r="AE25" s="175">
        <f t="shared" si="14"/>
        <v>0</v>
      </c>
      <c r="AF25" s="25"/>
      <c r="AG25" s="175">
        <f t="shared" si="15"/>
        <v>0</v>
      </c>
      <c r="AJ25" s="175">
        <f t="shared" si="16"/>
        <v>0</v>
      </c>
      <c r="AL25" s="175">
        <f t="shared" si="17"/>
        <v>0</v>
      </c>
      <c r="AR25" s="188"/>
      <c r="AS25" s="188"/>
    </row>
    <row r="26" spans="3:49" ht="18.75" customHeight="1">
      <c r="E26" s="1"/>
      <c r="F26" s="175">
        <f t="shared" si="2"/>
        <v>0</v>
      </c>
      <c r="H26" s="175">
        <f t="shared" si="3"/>
        <v>0</v>
      </c>
      <c r="J26" s="175">
        <f t="shared" si="4"/>
        <v>0</v>
      </c>
      <c r="L26" s="175">
        <f t="shared" si="5"/>
        <v>0</v>
      </c>
      <c r="O26" s="175">
        <f t="shared" si="6"/>
        <v>0</v>
      </c>
      <c r="Q26" s="175">
        <f t="shared" si="7"/>
        <v>0</v>
      </c>
      <c r="S26" s="175">
        <f t="shared" si="8"/>
        <v>0</v>
      </c>
      <c r="U26" s="175">
        <f t="shared" si="9"/>
        <v>0</v>
      </c>
      <c r="X26" s="175">
        <f t="shared" si="10"/>
        <v>0</v>
      </c>
      <c r="Z26" s="175">
        <f t="shared" si="11"/>
        <v>0</v>
      </c>
      <c r="AB26" s="175">
        <f t="shared" si="12"/>
        <v>0</v>
      </c>
      <c r="AD26" s="25"/>
      <c r="AE26" s="175">
        <f t="shared" si="14"/>
        <v>0</v>
      </c>
      <c r="AF26" s="25"/>
      <c r="AG26" s="175">
        <f t="shared" si="15"/>
        <v>0</v>
      </c>
      <c r="AJ26" s="175">
        <f t="shared" si="16"/>
        <v>0</v>
      </c>
      <c r="AL26" s="175">
        <f t="shared" si="17"/>
        <v>0</v>
      </c>
      <c r="AR26" s="188"/>
      <c r="AS26" s="188"/>
    </row>
    <row r="27" spans="3:49" ht="18.75" customHeight="1">
      <c r="E27" s="1"/>
      <c r="F27" s="175">
        <f t="shared" si="2"/>
        <v>0</v>
      </c>
      <c r="H27" s="175">
        <f t="shared" si="3"/>
        <v>0</v>
      </c>
      <c r="J27" s="175">
        <f t="shared" si="4"/>
        <v>0</v>
      </c>
      <c r="L27" s="175">
        <f t="shared" si="5"/>
        <v>0</v>
      </c>
      <c r="O27" s="175">
        <f t="shared" si="6"/>
        <v>0</v>
      </c>
      <c r="Q27" s="175">
        <f t="shared" si="7"/>
        <v>0</v>
      </c>
      <c r="S27" s="175">
        <f t="shared" si="8"/>
        <v>0</v>
      </c>
      <c r="U27" s="175">
        <f t="shared" si="9"/>
        <v>0</v>
      </c>
      <c r="X27" s="175">
        <f t="shared" si="10"/>
        <v>0</v>
      </c>
      <c r="Z27" s="175">
        <f t="shared" si="11"/>
        <v>0</v>
      </c>
      <c r="AB27" s="175">
        <f t="shared" si="12"/>
        <v>0</v>
      </c>
      <c r="AD27" s="25"/>
      <c r="AE27" s="175">
        <f t="shared" si="14"/>
        <v>0</v>
      </c>
      <c r="AF27" s="25"/>
      <c r="AG27" s="175">
        <f t="shared" si="15"/>
        <v>0</v>
      </c>
      <c r="AJ27" s="175">
        <f t="shared" si="16"/>
        <v>0</v>
      </c>
      <c r="AL27" s="175">
        <f t="shared" si="17"/>
        <v>0</v>
      </c>
      <c r="AR27" s="188"/>
      <c r="AS27" s="188"/>
    </row>
    <row r="28" spans="3:49" ht="18.75" customHeight="1">
      <c r="E28" s="1"/>
      <c r="F28" s="175">
        <f t="shared" si="2"/>
        <v>0</v>
      </c>
      <c r="H28" s="175">
        <f t="shared" si="3"/>
        <v>0</v>
      </c>
      <c r="J28" s="175">
        <f t="shared" si="4"/>
        <v>0</v>
      </c>
      <c r="L28" s="175">
        <f t="shared" si="5"/>
        <v>0</v>
      </c>
      <c r="O28" s="175">
        <f t="shared" si="6"/>
        <v>0</v>
      </c>
      <c r="Q28" s="175">
        <f t="shared" si="7"/>
        <v>0</v>
      </c>
      <c r="S28" s="175">
        <f t="shared" si="8"/>
        <v>0</v>
      </c>
      <c r="U28" s="175">
        <f t="shared" si="9"/>
        <v>0</v>
      </c>
      <c r="X28" s="175">
        <f t="shared" si="10"/>
        <v>0</v>
      </c>
      <c r="Z28" s="175">
        <f t="shared" si="11"/>
        <v>0</v>
      </c>
      <c r="AB28" s="175">
        <f t="shared" si="12"/>
        <v>0</v>
      </c>
      <c r="AD28" s="25"/>
      <c r="AE28" s="175">
        <f t="shared" si="14"/>
        <v>0</v>
      </c>
      <c r="AF28" s="25"/>
      <c r="AG28" s="175">
        <f t="shared" si="15"/>
        <v>0</v>
      </c>
      <c r="AJ28" s="175">
        <f t="shared" si="16"/>
        <v>0</v>
      </c>
      <c r="AL28" s="175">
        <f t="shared" si="17"/>
        <v>0</v>
      </c>
      <c r="AR28" s="188"/>
      <c r="AS28" s="188"/>
    </row>
    <row r="29" spans="3:49" ht="18.75" customHeight="1">
      <c r="E29" s="1"/>
      <c r="F29" s="175">
        <f t="shared" si="2"/>
        <v>0</v>
      </c>
      <c r="H29" s="175">
        <f t="shared" si="3"/>
        <v>0</v>
      </c>
      <c r="J29" s="175">
        <f t="shared" si="4"/>
        <v>0</v>
      </c>
      <c r="L29" s="175">
        <f t="shared" si="5"/>
        <v>0</v>
      </c>
      <c r="O29" s="175">
        <f t="shared" si="6"/>
        <v>0</v>
      </c>
      <c r="Q29" s="175">
        <f t="shared" si="7"/>
        <v>0</v>
      </c>
      <c r="S29" s="175">
        <f t="shared" si="8"/>
        <v>0</v>
      </c>
      <c r="U29" s="175">
        <f t="shared" si="9"/>
        <v>0</v>
      </c>
      <c r="X29" s="175">
        <f t="shared" si="10"/>
        <v>0</v>
      </c>
      <c r="Z29" s="175">
        <f t="shared" si="11"/>
        <v>0</v>
      </c>
      <c r="AB29" s="175">
        <f t="shared" si="12"/>
        <v>0</v>
      </c>
      <c r="AD29" s="25"/>
      <c r="AE29" s="175">
        <f t="shared" si="14"/>
        <v>0</v>
      </c>
      <c r="AF29" s="25"/>
      <c r="AG29" s="175">
        <f t="shared" si="15"/>
        <v>0</v>
      </c>
      <c r="AJ29" s="175">
        <f t="shared" si="16"/>
        <v>0</v>
      </c>
      <c r="AL29" s="175">
        <f t="shared" si="17"/>
        <v>0</v>
      </c>
      <c r="AR29" s="188"/>
      <c r="AS29" s="188"/>
    </row>
    <row r="30" spans="3:49" ht="18.75" customHeight="1">
      <c r="E30" s="1"/>
      <c r="F30" s="175">
        <f t="shared" si="2"/>
        <v>0</v>
      </c>
      <c r="H30" s="175">
        <f t="shared" si="3"/>
        <v>0</v>
      </c>
      <c r="J30" s="175">
        <f t="shared" si="4"/>
        <v>0</v>
      </c>
      <c r="L30" s="175">
        <f t="shared" si="5"/>
        <v>0</v>
      </c>
      <c r="O30" s="175">
        <f t="shared" si="6"/>
        <v>0</v>
      </c>
      <c r="Q30" s="175">
        <f t="shared" si="7"/>
        <v>0</v>
      </c>
      <c r="S30" s="175">
        <f t="shared" si="8"/>
        <v>0</v>
      </c>
      <c r="U30" s="175">
        <f t="shared" si="9"/>
        <v>0</v>
      </c>
      <c r="X30" s="175">
        <f t="shared" si="10"/>
        <v>0</v>
      </c>
      <c r="Z30" s="175">
        <f t="shared" si="11"/>
        <v>0</v>
      </c>
      <c r="AB30" s="175">
        <f t="shared" si="12"/>
        <v>0</v>
      </c>
      <c r="AD30" s="25"/>
      <c r="AE30" s="175">
        <f t="shared" si="14"/>
        <v>0</v>
      </c>
      <c r="AF30" s="25"/>
      <c r="AG30" s="175">
        <f t="shared" si="15"/>
        <v>0</v>
      </c>
      <c r="AJ30" s="175">
        <f t="shared" si="16"/>
        <v>0</v>
      </c>
      <c r="AL30" s="175">
        <f t="shared" si="17"/>
        <v>0</v>
      </c>
      <c r="AR30" s="188"/>
      <c r="AS30" s="188"/>
    </row>
    <row r="31" spans="3:49" ht="18.75" customHeight="1">
      <c r="E31" s="1"/>
      <c r="F31" s="175">
        <f t="shared" si="2"/>
        <v>0</v>
      </c>
      <c r="H31" s="175">
        <f t="shared" si="3"/>
        <v>0</v>
      </c>
      <c r="J31" s="175">
        <f t="shared" si="4"/>
        <v>0</v>
      </c>
      <c r="L31" s="175">
        <f t="shared" si="5"/>
        <v>0</v>
      </c>
      <c r="O31" s="175">
        <f t="shared" si="6"/>
        <v>0</v>
      </c>
      <c r="Q31" s="175">
        <f t="shared" si="7"/>
        <v>0</v>
      </c>
      <c r="S31" s="175">
        <f t="shared" si="8"/>
        <v>0</v>
      </c>
      <c r="U31" s="175">
        <f t="shared" si="9"/>
        <v>0</v>
      </c>
      <c r="X31" s="175">
        <f t="shared" si="10"/>
        <v>0</v>
      </c>
      <c r="Z31" s="175">
        <f t="shared" si="11"/>
        <v>0</v>
      </c>
      <c r="AB31" s="175">
        <f t="shared" si="12"/>
        <v>0</v>
      </c>
      <c r="AD31" s="25"/>
      <c r="AE31" s="175">
        <f t="shared" si="14"/>
        <v>0</v>
      </c>
      <c r="AF31" s="25"/>
      <c r="AG31" s="175">
        <f t="shared" si="15"/>
        <v>0</v>
      </c>
      <c r="AJ31" s="175">
        <f t="shared" si="16"/>
        <v>0</v>
      </c>
      <c r="AL31" s="175">
        <f t="shared" si="17"/>
        <v>0</v>
      </c>
      <c r="AR31" s="188"/>
      <c r="AS31" s="188"/>
    </row>
    <row r="32" spans="3:49" ht="18.75" customHeight="1">
      <c r="E32" s="1"/>
      <c r="F32" s="175">
        <f t="shared" si="2"/>
        <v>0</v>
      </c>
      <c r="H32" s="175">
        <f t="shared" si="3"/>
        <v>0</v>
      </c>
      <c r="J32" s="175">
        <f t="shared" si="4"/>
        <v>0</v>
      </c>
      <c r="L32" s="175">
        <f t="shared" si="5"/>
        <v>0</v>
      </c>
      <c r="O32" s="175">
        <f t="shared" si="6"/>
        <v>0</v>
      </c>
      <c r="Q32" s="175">
        <f t="shared" si="7"/>
        <v>0</v>
      </c>
      <c r="S32" s="175">
        <f t="shared" si="8"/>
        <v>0</v>
      </c>
      <c r="U32" s="175">
        <f t="shared" si="9"/>
        <v>0</v>
      </c>
      <c r="X32" s="175">
        <f t="shared" si="10"/>
        <v>0</v>
      </c>
      <c r="Z32" s="175">
        <f t="shared" si="11"/>
        <v>0</v>
      </c>
      <c r="AB32" s="175">
        <f t="shared" si="12"/>
        <v>0</v>
      </c>
      <c r="AD32" s="25"/>
      <c r="AE32" s="175">
        <f t="shared" si="14"/>
        <v>0</v>
      </c>
      <c r="AF32" s="25"/>
      <c r="AG32" s="175">
        <f t="shared" si="15"/>
        <v>0</v>
      </c>
      <c r="AJ32" s="175">
        <f t="shared" si="16"/>
        <v>0</v>
      </c>
      <c r="AL32" s="175">
        <f t="shared" si="17"/>
        <v>0</v>
      </c>
      <c r="AR32" s="188"/>
      <c r="AS32" s="188"/>
    </row>
    <row r="33" spans="5:45" ht="18.75" customHeight="1">
      <c r="E33" s="1"/>
      <c r="F33" s="175">
        <f t="shared" si="2"/>
        <v>0</v>
      </c>
      <c r="H33" s="175">
        <f t="shared" si="3"/>
        <v>0</v>
      </c>
      <c r="J33" s="175">
        <f t="shared" si="4"/>
        <v>0</v>
      </c>
      <c r="L33" s="175">
        <f t="shared" si="5"/>
        <v>0</v>
      </c>
      <c r="O33" s="175">
        <f t="shared" si="6"/>
        <v>0</v>
      </c>
      <c r="Q33" s="175">
        <f t="shared" si="7"/>
        <v>0</v>
      </c>
      <c r="S33" s="175">
        <f t="shared" si="8"/>
        <v>0</v>
      </c>
      <c r="U33" s="175">
        <f t="shared" si="9"/>
        <v>0</v>
      </c>
      <c r="X33" s="175">
        <f t="shared" si="10"/>
        <v>0</v>
      </c>
      <c r="Z33" s="175">
        <f t="shared" si="11"/>
        <v>0</v>
      </c>
      <c r="AB33" s="175">
        <f t="shared" si="12"/>
        <v>0</v>
      </c>
      <c r="AD33" s="25"/>
      <c r="AE33" s="175">
        <f t="shared" si="14"/>
        <v>0</v>
      </c>
      <c r="AF33" s="25"/>
      <c r="AG33" s="175">
        <f t="shared" si="15"/>
        <v>0</v>
      </c>
      <c r="AJ33" s="175">
        <f t="shared" si="16"/>
        <v>0</v>
      </c>
      <c r="AL33" s="175">
        <f t="shared" si="17"/>
        <v>0</v>
      </c>
      <c r="AR33" s="188"/>
      <c r="AS33" s="188"/>
    </row>
    <row r="34" spans="5:45" ht="18.75" customHeight="1">
      <c r="E34" s="1"/>
      <c r="F34" s="175">
        <f t="shared" si="2"/>
        <v>0</v>
      </c>
      <c r="H34" s="175">
        <f t="shared" si="3"/>
        <v>0</v>
      </c>
      <c r="J34" s="175">
        <f t="shared" si="4"/>
        <v>0</v>
      </c>
      <c r="L34" s="175">
        <f t="shared" si="5"/>
        <v>0</v>
      </c>
      <c r="O34" s="175">
        <f t="shared" si="6"/>
        <v>0</v>
      </c>
      <c r="Q34" s="175">
        <f t="shared" si="7"/>
        <v>0</v>
      </c>
      <c r="S34" s="175">
        <f t="shared" si="8"/>
        <v>0</v>
      </c>
      <c r="U34" s="175">
        <f t="shared" si="9"/>
        <v>0</v>
      </c>
      <c r="X34" s="175">
        <f t="shared" si="10"/>
        <v>0</v>
      </c>
      <c r="Z34" s="175">
        <f t="shared" si="11"/>
        <v>0</v>
      </c>
      <c r="AB34" s="175">
        <f t="shared" si="12"/>
        <v>0</v>
      </c>
      <c r="AD34" s="25"/>
      <c r="AE34" s="175">
        <f t="shared" si="14"/>
        <v>0</v>
      </c>
      <c r="AF34" s="25"/>
      <c r="AG34" s="175">
        <f t="shared" si="15"/>
        <v>0</v>
      </c>
      <c r="AJ34" s="175">
        <f t="shared" si="16"/>
        <v>0</v>
      </c>
      <c r="AL34" s="175">
        <f t="shared" si="17"/>
        <v>0</v>
      </c>
      <c r="AR34" s="188"/>
      <c r="AS34" s="188"/>
    </row>
    <row r="35" spans="5:45" ht="18.75" customHeight="1">
      <c r="E35" s="1"/>
      <c r="F35" s="175">
        <f t="shared" si="2"/>
        <v>0</v>
      </c>
      <c r="H35" s="175">
        <f t="shared" si="3"/>
        <v>0</v>
      </c>
      <c r="J35" s="175">
        <f t="shared" si="4"/>
        <v>0</v>
      </c>
      <c r="L35" s="175">
        <f t="shared" si="5"/>
        <v>0</v>
      </c>
      <c r="O35" s="175">
        <f t="shared" si="6"/>
        <v>0</v>
      </c>
      <c r="Q35" s="175">
        <f t="shared" si="7"/>
        <v>0</v>
      </c>
      <c r="S35" s="175">
        <f t="shared" si="8"/>
        <v>0</v>
      </c>
      <c r="U35" s="175">
        <f t="shared" si="9"/>
        <v>0</v>
      </c>
      <c r="X35" s="175">
        <f t="shared" si="10"/>
        <v>0</v>
      </c>
      <c r="Z35" s="175">
        <f t="shared" si="11"/>
        <v>0</v>
      </c>
      <c r="AB35" s="175">
        <f t="shared" si="12"/>
        <v>0</v>
      </c>
      <c r="AD35" s="25"/>
      <c r="AE35" s="175">
        <f t="shared" si="14"/>
        <v>0</v>
      </c>
      <c r="AF35" s="25"/>
      <c r="AG35" s="175">
        <f t="shared" si="15"/>
        <v>0</v>
      </c>
      <c r="AJ35" s="175">
        <f t="shared" si="16"/>
        <v>0</v>
      </c>
      <c r="AL35" s="175">
        <f t="shared" si="17"/>
        <v>0</v>
      </c>
      <c r="AR35" s="188"/>
      <c r="AS35" s="188"/>
    </row>
    <row r="36" spans="5:45" ht="18.75" customHeight="1">
      <c r="F36" s="175">
        <f t="shared" si="2"/>
        <v>0</v>
      </c>
      <c r="H36" s="175">
        <f t="shared" si="3"/>
        <v>0</v>
      </c>
      <c r="J36" s="175">
        <f t="shared" si="4"/>
        <v>0</v>
      </c>
      <c r="L36" s="175">
        <f t="shared" si="5"/>
        <v>0</v>
      </c>
      <c r="O36" s="175">
        <f t="shared" si="6"/>
        <v>0</v>
      </c>
      <c r="Q36" s="175">
        <f t="shared" si="7"/>
        <v>0</v>
      </c>
      <c r="S36" s="175">
        <f t="shared" si="8"/>
        <v>0</v>
      </c>
      <c r="U36" s="175">
        <f t="shared" si="9"/>
        <v>0</v>
      </c>
      <c r="X36" s="175">
        <f t="shared" si="10"/>
        <v>0</v>
      </c>
      <c r="Z36" s="175">
        <f t="shared" si="11"/>
        <v>0</v>
      </c>
      <c r="AB36" s="175">
        <f t="shared" si="12"/>
        <v>0</v>
      </c>
      <c r="AD36" s="25"/>
      <c r="AE36" s="175">
        <f t="shared" si="14"/>
        <v>0</v>
      </c>
      <c r="AF36" s="25"/>
      <c r="AG36" s="175">
        <f t="shared" si="15"/>
        <v>0</v>
      </c>
      <c r="AJ36" s="175">
        <f t="shared" si="16"/>
        <v>0</v>
      </c>
      <c r="AL36" s="175">
        <f t="shared" si="17"/>
        <v>0</v>
      </c>
      <c r="AR36" s="188"/>
      <c r="AS36" s="188"/>
    </row>
    <row r="37" spans="5:45" ht="18.75" customHeight="1">
      <c r="F37" s="175">
        <f t="shared" si="2"/>
        <v>0</v>
      </c>
      <c r="H37" s="175">
        <f t="shared" si="3"/>
        <v>0</v>
      </c>
      <c r="J37" s="175">
        <f t="shared" si="4"/>
        <v>0</v>
      </c>
      <c r="L37" s="175">
        <f t="shared" si="5"/>
        <v>0</v>
      </c>
      <c r="O37" s="175">
        <f t="shared" si="6"/>
        <v>0</v>
      </c>
      <c r="Q37" s="175">
        <f t="shared" si="7"/>
        <v>0</v>
      </c>
      <c r="S37" s="175">
        <f t="shared" si="8"/>
        <v>0</v>
      </c>
      <c r="U37" s="175">
        <f t="shared" si="9"/>
        <v>0</v>
      </c>
      <c r="X37" s="175">
        <f t="shared" si="10"/>
        <v>0</v>
      </c>
      <c r="Z37" s="175">
        <f t="shared" si="11"/>
        <v>0</v>
      </c>
      <c r="AB37" s="175">
        <f t="shared" si="12"/>
        <v>0</v>
      </c>
      <c r="AD37" s="25"/>
      <c r="AE37" s="175">
        <f t="shared" si="14"/>
        <v>0</v>
      </c>
      <c r="AF37" s="25"/>
      <c r="AG37" s="175">
        <f t="shared" si="15"/>
        <v>0</v>
      </c>
      <c r="AJ37" s="175">
        <f t="shared" si="16"/>
        <v>0</v>
      </c>
      <c r="AL37" s="175">
        <f t="shared" si="17"/>
        <v>0</v>
      </c>
      <c r="AR37" s="188"/>
      <c r="AS37" s="188"/>
    </row>
    <row r="38" spans="5:45" ht="18.75" customHeight="1">
      <c r="F38" s="175">
        <f t="shared" si="2"/>
        <v>0</v>
      </c>
      <c r="H38" s="175">
        <f t="shared" si="3"/>
        <v>0</v>
      </c>
      <c r="J38" s="175">
        <f t="shared" si="4"/>
        <v>0</v>
      </c>
      <c r="L38" s="175">
        <f t="shared" si="5"/>
        <v>0</v>
      </c>
      <c r="O38" s="175">
        <f t="shared" si="6"/>
        <v>0</v>
      </c>
      <c r="Q38" s="175">
        <f t="shared" si="7"/>
        <v>0</v>
      </c>
      <c r="S38" s="175">
        <f t="shared" si="8"/>
        <v>0</v>
      </c>
      <c r="U38" s="175">
        <f t="shared" si="9"/>
        <v>0</v>
      </c>
      <c r="X38" s="175">
        <f t="shared" si="10"/>
        <v>0</v>
      </c>
      <c r="Z38" s="175">
        <f t="shared" si="11"/>
        <v>0</v>
      </c>
      <c r="AB38" s="175">
        <f t="shared" si="12"/>
        <v>0</v>
      </c>
      <c r="AD38" s="25"/>
      <c r="AE38" s="175">
        <f t="shared" si="14"/>
        <v>0</v>
      </c>
      <c r="AF38" s="25"/>
      <c r="AG38" s="175">
        <f t="shared" si="15"/>
        <v>0</v>
      </c>
      <c r="AJ38" s="175">
        <f t="shared" si="16"/>
        <v>0</v>
      </c>
      <c r="AL38" s="175">
        <f t="shared" si="17"/>
        <v>0</v>
      </c>
      <c r="AR38" s="188"/>
      <c r="AS38" s="188"/>
    </row>
    <row r="39" spans="5:45" ht="18.75" customHeight="1">
      <c r="F39" s="175">
        <f t="shared" si="2"/>
        <v>0</v>
      </c>
      <c r="H39" s="175">
        <f t="shared" si="3"/>
        <v>0</v>
      </c>
      <c r="J39" s="175">
        <f t="shared" si="4"/>
        <v>0</v>
      </c>
      <c r="L39" s="175">
        <f t="shared" si="5"/>
        <v>0</v>
      </c>
      <c r="O39" s="175">
        <f t="shared" si="6"/>
        <v>0</v>
      </c>
      <c r="Q39" s="175">
        <f t="shared" si="7"/>
        <v>0</v>
      </c>
      <c r="S39" s="175">
        <f t="shared" si="8"/>
        <v>0</v>
      </c>
      <c r="U39" s="175">
        <f t="shared" si="9"/>
        <v>0</v>
      </c>
      <c r="X39" s="175">
        <f t="shared" si="10"/>
        <v>0</v>
      </c>
      <c r="Z39" s="175">
        <f t="shared" si="11"/>
        <v>0</v>
      </c>
      <c r="AB39" s="175">
        <f t="shared" si="12"/>
        <v>0</v>
      </c>
      <c r="AD39" s="25"/>
      <c r="AE39" s="175">
        <f t="shared" si="14"/>
        <v>0</v>
      </c>
      <c r="AF39" s="25"/>
      <c r="AG39" s="175">
        <f t="shared" si="15"/>
        <v>0</v>
      </c>
      <c r="AJ39" s="175">
        <f t="shared" si="16"/>
        <v>0</v>
      </c>
      <c r="AL39" s="175">
        <f t="shared" si="17"/>
        <v>0</v>
      </c>
      <c r="AR39" s="188"/>
      <c r="AS39" s="188"/>
    </row>
    <row r="40" spans="5:45" ht="18.75" customHeight="1">
      <c r="F40" s="175">
        <f t="shared" si="2"/>
        <v>0</v>
      </c>
      <c r="H40" s="175">
        <f t="shared" si="3"/>
        <v>0</v>
      </c>
      <c r="J40" s="175">
        <f t="shared" si="4"/>
        <v>0</v>
      </c>
      <c r="L40" s="175">
        <f t="shared" si="5"/>
        <v>0</v>
      </c>
      <c r="O40" s="175">
        <f t="shared" si="6"/>
        <v>0</v>
      </c>
      <c r="Q40" s="175">
        <f t="shared" si="7"/>
        <v>0</v>
      </c>
      <c r="S40" s="175">
        <f t="shared" si="8"/>
        <v>0</v>
      </c>
      <c r="U40" s="175">
        <f t="shared" si="9"/>
        <v>0</v>
      </c>
      <c r="X40" s="175">
        <f t="shared" si="10"/>
        <v>0</v>
      </c>
      <c r="Z40" s="175">
        <f t="shared" si="11"/>
        <v>0</v>
      </c>
      <c r="AB40" s="175">
        <f t="shared" si="12"/>
        <v>0</v>
      </c>
      <c r="AD40" s="25"/>
      <c r="AE40" s="175">
        <f t="shared" ref="AE40:AE69" si="21">AD40*$X$1/$W$1</f>
        <v>0</v>
      </c>
      <c r="AF40" s="25"/>
      <c r="AG40" s="175">
        <f t="shared" si="15"/>
        <v>0</v>
      </c>
      <c r="AJ40" s="175">
        <f t="shared" si="16"/>
        <v>0</v>
      </c>
      <c r="AL40" s="175">
        <f t="shared" si="17"/>
        <v>0</v>
      </c>
      <c r="AR40" s="188"/>
      <c r="AS40" s="188"/>
    </row>
    <row r="41" spans="5:45" ht="18.75" customHeight="1">
      <c r="F41" s="175">
        <f t="shared" si="2"/>
        <v>0</v>
      </c>
      <c r="H41" s="175">
        <f t="shared" si="3"/>
        <v>0</v>
      </c>
      <c r="J41" s="175">
        <f t="shared" si="4"/>
        <v>0</v>
      </c>
      <c r="L41" s="175">
        <f t="shared" si="5"/>
        <v>0</v>
      </c>
      <c r="O41" s="175">
        <f t="shared" si="6"/>
        <v>0</v>
      </c>
      <c r="Q41" s="175">
        <f t="shared" si="7"/>
        <v>0</v>
      </c>
      <c r="S41" s="175">
        <f t="shared" si="8"/>
        <v>0</v>
      </c>
      <c r="U41" s="175">
        <f t="shared" si="9"/>
        <v>0</v>
      </c>
      <c r="X41" s="175">
        <f t="shared" si="10"/>
        <v>0</v>
      </c>
      <c r="Z41" s="175">
        <f t="shared" si="11"/>
        <v>0</v>
      </c>
      <c r="AB41" s="175">
        <f t="shared" si="12"/>
        <v>0</v>
      </c>
      <c r="AD41" s="25"/>
      <c r="AE41" s="175">
        <f t="shared" si="21"/>
        <v>0</v>
      </c>
      <c r="AF41" s="25"/>
      <c r="AG41" s="175">
        <f t="shared" si="15"/>
        <v>0</v>
      </c>
      <c r="AJ41" s="175">
        <f t="shared" si="16"/>
        <v>0</v>
      </c>
      <c r="AL41" s="175">
        <f t="shared" si="17"/>
        <v>0</v>
      </c>
      <c r="AR41" s="188"/>
      <c r="AS41" s="188"/>
    </row>
    <row r="42" spans="5:45" ht="18.75" customHeight="1">
      <c r="F42" s="175">
        <f t="shared" si="2"/>
        <v>0</v>
      </c>
      <c r="H42" s="175">
        <f t="shared" si="3"/>
        <v>0</v>
      </c>
      <c r="J42" s="175">
        <f t="shared" si="4"/>
        <v>0</v>
      </c>
      <c r="L42" s="175">
        <f t="shared" si="5"/>
        <v>0</v>
      </c>
      <c r="O42" s="175">
        <f t="shared" si="6"/>
        <v>0</v>
      </c>
      <c r="Q42" s="175">
        <f t="shared" si="7"/>
        <v>0</v>
      </c>
      <c r="S42" s="175">
        <f t="shared" si="8"/>
        <v>0</v>
      </c>
      <c r="U42" s="175">
        <f t="shared" si="9"/>
        <v>0</v>
      </c>
      <c r="X42" s="175">
        <f t="shared" si="10"/>
        <v>0</v>
      </c>
      <c r="Z42" s="175">
        <f t="shared" si="11"/>
        <v>0</v>
      </c>
      <c r="AB42" s="175">
        <f t="shared" si="12"/>
        <v>0</v>
      </c>
      <c r="AD42" s="25"/>
      <c r="AE42" s="175">
        <f t="shared" si="21"/>
        <v>0</v>
      </c>
      <c r="AF42" s="25"/>
      <c r="AG42" s="175">
        <f t="shared" si="15"/>
        <v>0</v>
      </c>
      <c r="AJ42" s="175">
        <f t="shared" si="16"/>
        <v>0</v>
      </c>
      <c r="AL42" s="175">
        <f t="shared" si="17"/>
        <v>0</v>
      </c>
      <c r="AR42" s="188"/>
      <c r="AS42" s="188"/>
    </row>
    <row r="43" spans="5:45" ht="18.75" customHeight="1">
      <c r="F43" s="175">
        <f t="shared" si="2"/>
        <v>0</v>
      </c>
      <c r="H43" s="175">
        <f t="shared" si="3"/>
        <v>0</v>
      </c>
      <c r="J43" s="175">
        <f t="shared" si="4"/>
        <v>0</v>
      </c>
      <c r="L43" s="175">
        <f t="shared" si="5"/>
        <v>0</v>
      </c>
      <c r="O43" s="175">
        <f t="shared" si="6"/>
        <v>0</v>
      </c>
      <c r="Q43" s="175">
        <f t="shared" si="7"/>
        <v>0</v>
      </c>
      <c r="S43" s="175">
        <f t="shared" si="8"/>
        <v>0</v>
      </c>
      <c r="U43" s="175">
        <f t="shared" si="9"/>
        <v>0</v>
      </c>
      <c r="X43" s="175">
        <f t="shared" si="10"/>
        <v>0</v>
      </c>
      <c r="Z43" s="175">
        <f t="shared" si="11"/>
        <v>0</v>
      </c>
      <c r="AB43" s="175">
        <f t="shared" si="12"/>
        <v>0</v>
      </c>
      <c r="AD43" s="25"/>
      <c r="AE43" s="175">
        <f t="shared" si="21"/>
        <v>0</v>
      </c>
      <c r="AF43" s="25"/>
      <c r="AG43" s="175">
        <f t="shared" si="15"/>
        <v>0</v>
      </c>
      <c r="AJ43" s="175">
        <f t="shared" si="16"/>
        <v>0</v>
      </c>
      <c r="AL43" s="175">
        <f t="shared" si="17"/>
        <v>0</v>
      </c>
      <c r="AR43" s="188"/>
      <c r="AS43" s="188"/>
    </row>
    <row r="44" spans="5:45" ht="18.75" customHeight="1">
      <c r="F44" s="175">
        <f t="shared" si="2"/>
        <v>0</v>
      </c>
      <c r="H44" s="175">
        <f t="shared" si="3"/>
        <v>0</v>
      </c>
      <c r="J44" s="175">
        <f t="shared" si="4"/>
        <v>0</v>
      </c>
      <c r="L44" s="175">
        <f t="shared" si="5"/>
        <v>0</v>
      </c>
      <c r="O44" s="175">
        <f t="shared" si="6"/>
        <v>0</v>
      </c>
      <c r="Q44" s="175">
        <f t="shared" si="7"/>
        <v>0</v>
      </c>
      <c r="S44" s="175">
        <f t="shared" si="8"/>
        <v>0</v>
      </c>
      <c r="U44" s="175">
        <f t="shared" si="9"/>
        <v>0</v>
      </c>
      <c r="X44" s="175">
        <f t="shared" si="10"/>
        <v>0</v>
      </c>
      <c r="Z44" s="175">
        <f t="shared" si="11"/>
        <v>0</v>
      </c>
      <c r="AB44" s="175">
        <f t="shared" si="12"/>
        <v>0</v>
      </c>
      <c r="AD44" s="25"/>
      <c r="AE44" s="175">
        <f t="shared" si="21"/>
        <v>0</v>
      </c>
      <c r="AF44" s="25"/>
      <c r="AG44" s="175">
        <f t="shared" si="15"/>
        <v>0</v>
      </c>
      <c r="AJ44" s="175">
        <f t="shared" si="16"/>
        <v>0</v>
      </c>
      <c r="AL44" s="175">
        <f t="shared" si="17"/>
        <v>0</v>
      </c>
      <c r="AR44" s="188"/>
      <c r="AS44" s="188"/>
    </row>
    <row r="45" spans="5:45" ht="18.75" customHeight="1">
      <c r="F45" s="175">
        <f t="shared" si="2"/>
        <v>0</v>
      </c>
      <c r="H45" s="175">
        <f t="shared" si="3"/>
        <v>0</v>
      </c>
      <c r="J45" s="175">
        <f t="shared" si="4"/>
        <v>0</v>
      </c>
      <c r="L45" s="175">
        <f t="shared" si="5"/>
        <v>0</v>
      </c>
      <c r="O45" s="175">
        <f t="shared" si="6"/>
        <v>0</v>
      </c>
      <c r="Q45" s="175">
        <f t="shared" si="7"/>
        <v>0</v>
      </c>
      <c r="S45" s="175">
        <f t="shared" si="8"/>
        <v>0</v>
      </c>
      <c r="U45" s="175">
        <f t="shared" si="9"/>
        <v>0</v>
      </c>
      <c r="X45" s="175">
        <f t="shared" si="10"/>
        <v>0</v>
      </c>
      <c r="Z45" s="175">
        <f t="shared" si="11"/>
        <v>0</v>
      </c>
      <c r="AB45" s="175">
        <f t="shared" si="12"/>
        <v>0</v>
      </c>
      <c r="AD45" s="25"/>
      <c r="AE45" s="175">
        <f t="shared" si="21"/>
        <v>0</v>
      </c>
      <c r="AF45" s="25"/>
      <c r="AG45" s="175">
        <f t="shared" si="15"/>
        <v>0</v>
      </c>
      <c r="AJ45" s="175">
        <f t="shared" si="16"/>
        <v>0</v>
      </c>
      <c r="AL45" s="175">
        <f t="shared" si="17"/>
        <v>0</v>
      </c>
      <c r="AR45" s="188"/>
      <c r="AS45" s="188"/>
    </row>
    <row r="46" spans="5:45" ht="18.75" customHeight="1">
      <c r="F46" s="175">
        <f t="shared" si="2"/>
        <v>0</v>
      </c>
      <c r="H46" s="175">
        <f t="shared" si="3"/>
        <v>0</v>
      </c>
      <c r="J46" s="175">
        <f t="shared" si="4"/>
        <v>0</v>
      </c>
      <c r="L46" s="175">
        <f t="shared" si="5"/>
        <v>0</v>
      </c>
      <c r="O46" s="175">
        <f t="shared" si="6"/>
        <v>0</v>
      </c>
      <c r="Q46" s="175">
        <f t="shared" si="7"/>
        <v>0</v>
      </c>
      <c r="S46" s="175">
        <f t="shared" si="8"/>
        <v>0</v>
      </c>
      <c r="U46" s="175">
        <f t="shared" si="9"/>
        <v>0</v>
      </c>
      <c r="X46" s="175">
        <f t="shared" si="10"/>
        <v>0</v>
      </c>
      <c r="Z46" s="175">
        <f t="shared" si="11"/>
        <v>0</v>
      </c>
      <c r="AB46" s="175">
        <f t="shared" si="12"/>
        <v>0</v>
      </c>
      <c r="AD46" s="25"/>
      <c r="AE46" s="175">
        <f t="shared" si="21"/>
        <v>0</v>
      </c>
      <c r="AF46" s="25"/>
      <c r="AG46" s="175">
        <f t="shared" si="15"/>
        <v>0</v>
      </c>
      <c r="AJ46" s="175">
        <f t="shared" si="16"/>
        <v>0</v>
      </c>
      <c r="AL46" s="175">
        <f t="shared" si="17"/>
        <v>0</v>
      </c>
      <c r="AR46" s="188"/>
      <c r="AS46" s="188"/>
    </row>
    <row r="47" spans="5:45" ht="18.75" customHeight="1">
      <c r="F47" s="175">
        <f t="shared" si="2"/>
        <v>0</v>
      </c>
      <c r="H47" s="175">
        <f t="shared" si="3"/>
        <v>0</v>
      </c>
      <c r="J47" s="175">
        <f t="shared" si="4"/>
        <v>0</v>
      </c>
      <c r="L47" s="175">
        <f t="shared" si="5"/>
        <v>0</v>
      </c>
      <c r="O47" s="175">
        <f t="shared" si="6"/>
        <v>0</v>
      </c>
      <c r="Q47" s="175">
        <f t="shared" si="7"/>
        <v>0</v>
      </c>
      <c r="S47" s="175">
        <f t="shared" si="8"/>
        <v>0</v>
      </c>
      <c r="U47" s="175">
        <f t="shared" si="9"/>
        <v>0</v>
      </c>
      <c r="X47" s="175">
        <f t="shared" si="10"/>
        <v>0</v>
      </c>
      <c r="Z47" s="175">
        <f t="shared" si="11"/>
        <v>0</v>
      </c>
      <c r="AB47" s="175">
        <f t="shared" si="12"/>
        <v>0</v>
      </c>
      <c r="AD47" s="25"/>
      <c r="AE47" s="175">
        <f t="shared" si="21"/>
        <v>0</v>
      </c>
      <c r="AF47" s="25"/>
      <c r="AG47" s="175">
        <f t="shared" ref="AG47:AG68" si="22">AF47*$Z$1/$Y$1</f>
        <v>0</v>
      </c>
      <c r="AJ47" s="175">
        <f t="shared" si="16"/>
        <v>0</v>
      </c>
      <c r="AL47" s="175">
        <f t="shared" si="17"/>
        <v>0</v>
      </c>
      <c r="AR47" s="188"/>
      <c r="AS47" s="188"/>
    </row>
    <row r="48" spans="5:45" ht="18.75" customHeight="1">
      <c r="F48" s="175">
        <f t="shared" si="2"/>
        <v>0</v>
      </c>
      <c r="H48" s="175">
        <f t="shared" si="3"/>
        <v>0</v>
      </c>
      <c r="J48" s="175">
        <f t="shared" si="4"/>
        <v>0</v>
      </c>
      <c r="L48" s="175">
        <f t="shared" si="5"/>
        <v>0</v>
      </c>
      <c r="O48" s="175">
        <f t="shared" si="6"/>
        <v>0</v>
      </c>
      <c r="Q48" s="175">
        <f t="shared" si="7"/>
        <v>0</v>
      </c>
      <c r="S48" s="175">
        <f t="shared" si="8"/>
        <v>0</v>
      </c>
      <c r="U48" s="175">
        <f t="shared" si="9"/>
        <v>0</v>
      </c>
      <c r="X48" s="175">
        <f t="shared" si="10"/>
        <v>0</v>
      </c>
      <c r="Z48" s="175">
        <f t="shared" si="11"/>
        <v>0</v>
      </c>
      <c r="AB48" s="175">
        <f t="shared" si="12"/>
        <v>0</v>
      </c>
      <c r="AD48" s="25"/>
      <c r="AE48" s="175">
        <f t="shared" si="21"/>
        <v>0</v>
      </c>
      <c r="AF48" s="25"/>
      <c r="AG48" s="175">
        <f t="shared" si="22"/>
        <v>0</v>
      </c>
      <c r="AJ48" s="175">
        <f t="shared" si="16"/>
        <v>0</v>
      </c>
      <c r="AL48" s="175">
        <f t="shared" si="17"/>
        <v>0</v>
      </c>
      <c r="AR48" s="188"/>
      <c r="AS48" s="188"/>
    </row>
    <row r="49" spans="6:45" ht="18.75" customHeight="1">
      <c r="F49" s="175">
        <f t="shared" si="2"/>
        <v>0</v>
      </c>
      <c r="H49" s="175">
        <f t="shared" si="3"/>
        <v>0</v>
      </c>
      <c r="J49" s="175">
        <f t="shared" si="4"/>
        <v>0</v>
      </c>
      <c r="L49" s="175">
        <f t="shared" si="5"/>
        <v>0</v>
      </c>
      <c r="O49" s="175">
        <f t="shared" si="6"/>
        <v>0</v>
      </c>
      <c r="Q49" s="175">
        <f t="shared" si="7"/>
        <v>0</v>
      </c>
      <c r="S49" s="175">
        <f t="shared" si="8"/>
        <v>0</v>
      </c>
      <c r="U49" s="175">
        <f t="shared" si="9"/>
        <v>0</v>
      </c>
      <c r="X49" s="175">
        <f t="shared" si="10"/>
        <v>0</v>
      </c>
      <c r="Z49" s="175">
        <f t="shared" si="11"/>
        <v>0</v>
      </c>
      <c r="AB49" s="175">
        <f t="shared" si="12"/>
        <v>0</v>
      </c>
      <c r="AD49" s="25"/>
      <c r="AE49" s="175">
        <f t="shared" si="21"/>
        <v>0</v>
      </c>
      <c r="AF49" s="25"/>
      <c r="AG49" s="175">
        <f t="shared" si="22"/>
        <v>0</v>
      </c>
      <c r="AJ49" s="175">
        <f t="shared" si="16"/>
        <v>0</v>
      </c>
      <c r="AL49" s="175">
        <f t="shared" si="17"/>
        <v>0</v>
      </c>
      <c r="AR49" s="188"/>
      <c r="AS49" s="188"/>
    </row>
    <row r="50" spans="6:45" ht="18.75" customHeight="1">
      <c r="F50" s="175">
        <f t="shared" si="2"/>
        <v>0</v>
      </c>
      <c r="H50" s="175">
        <f t="shared" si="3"/>
        <v>0</v>
      </c>
      <c r="J50" s="175">
        <f t="shared" si="4"/>
        <v>0</v>
      </c>
      <c r="L50" s="175">
        <f t="shared" si="5"/>
        <v>0</v>
      </c>
      <c r="O50" s="175">
        <f t="shared" si="6"/>
        <v>0</v>
      </c>
      <c r="Q50" s="175">
        <f t="shared" si="7"/>
        <v>0</v>
      </c>
      <c r="S50" s="175">
        <f t="shared" si="8"/>
        <v>0</v>
      </c>
      <c r="U50" s="175">
        <f t="shared" si="9"/>
        <v>0</v>
      </c>
      <c r="X50" s="175">
        <f t="shared" si="10"/>
        <v>0</v>
      </c>
      <c r="Z50" s="175">
        <f t="shared" si="11"/>
        <v>0</v>
      </c>
      <c r="AB50" s="175">
        <f t="shared" si="12"/>
        <v>0</v>
      </c>
      <c r="AD50" s="25"/>
      <c r="AE50" s="175">
        <f t="shared" si="21"/>
        <v>0</v>
      </c>
      <c r="AF50" s="25"/>
      <c r="AG50" s="175">
        <f t="shared" si="22"/>
        <v>0</v>
      </c>
      <c r="AJ50" s="175">
        <f t="shared" si="16"/>
        <v>0</v>
      </c>
      <c r="AL50" s="175">
        <f t="shared" si="17"/>
        <v>0</v>
      </c>
      <c r="AR50" s="188"/>
      <c r="AS50" s="188"/>
    </row>
    <row r="51" spans="6:45" ht="18.75" customHeight="1">
      <c r="F51" s="175">
        <f t="shared" si="2"/>
        <v>0</v>
      </c>
      <c r="H51" s="175">
        <f t="shared" si="3"/>
        <v>0</v>
      </c>
      <c r="J51" s="175">
        <f t="shared" si="4"/>
        <v>0</v>
      </c>
      <c r="L51" s="175">
        <f t="shared" si="5"/>
        <v>0</v>
      </c>
      <c r="O51" s="175">
        <f t="shared" si="6"/>
        <v>0</v>
      </c>
      <c r="Q51" s="175">
        <f t="shared" si="7"/>
        <v>0</v>
      </c>
      <c r="S51" s="175">
        <f t="shared" si="8"/>
        <v>0</v>
      </c>
      <c r="U51" s="175">
        <f t="shared" si="9"/>
        <v>0</v>
      </c>
      <c r="X51" s="175">
        <f t="shared" si="10"/>
        <v>0</v>
      </c>
      <c r="Z51" s="175">
        <f t="shared" si="11"/>
        <v>0</v>
      </c>
      <c r="AB51" s="175">
        <f t="shared" si="12"/>
        <v>0</v>
      </c>
      <c r="AD51" s="25"/>
      <c r="AE51" s="175">
        <f t="shared" si="21"/>
        <v>0</v>
      </c>
      <c r="AF51" s="25"/>
      <c r="AG51" s="175">
        <f t="shared" si="22"/>
        <v>0</v>
      </c>
      <c r="AJ51" s="175">
        <f t="shared" si="16"/>
        <v>0</v>
      </c>
      <c r="AL51" s="175">
        <f t="shared" si="17"/>
        <v>0</v>
      </c>
      <c r="AR51" s="188"/>
      <c r="AS51" s="188"/>
    </row>
    <row r="52" spans="6:45" ht="18.75" customHeight="1">
      <c r="F52" s="175">
        <f t="shared" si="2"/>
        <v>0</v>
      </c>
      <c r="H52" s="175">
        <f t="shared" si="3"/>
        <v>0</v>
      </c>
      <c r="J52" s="175">
        <f t="shared" si="4"/>
        <v>0</v>
      </c>
      <c r="L52" s="175">
        <f t="shared" si="5"/>
        <v>0</v>
      </c>
      <c r="O52" s="175">
        <f t="shared" si="6"/>
        <v>0</v>
      </c>
      <c r="Q52" s="175">
        <f t="shared" si="7"/>
        <v>0</v>
      </c>
      <c r="S52" s="175">
        <f t="shared" si="8"/>
        <v>0</v>
      </c>
      <c r="U52" s="175">
        <f t="shared" si="9"/>
        <v>0</v>
      </c>
      <c r="X52" s="175">
        <f t="shared" si="10"/>
        <v>0</v>
      </c>
      <c r="Z52" s="175">
        <f t="shared" si="11"/>
        <v>0</v>
      </c>
      <c r="AB52" s="175">
        <f t="shared" si="12"/>
        <v>0</v>
      </c>
      <c r="AD52" s="25"/>
      <c r="AE52" s="175">
        <f t="shared" si="21"/>
        <v>0</v>
      </c>
      <c r="AF52" s="25"/>
      <c r="AG52" s="175">
        <f t="shared" si="22"/>
        <v>0</v>
      </c>
      <c r="AJ52" s="175">
        <f t="shared" si="16"/>
        <v>0</v>
      </c>
      <c r="AL52" s="175">
        <f t="shared" si="17"/>
        <v>0</v>
      </c>
      <c r="AR52" s="188"/>
      <c r="AS52" s="188"/>
    </row>
    <row r="53" spans="6:45" ht="18.75" customHeight="1">
      <c r="F53" s="175">
        <f t="shared" si="2"/>
        <v>0</v>
      </c>
      <c r="H53" s="175">
        <f t="shared" si="3"/>
        <v>0</v>
      </c>
      <c r="J53" s="175">
        <f t="shared" si="4"/>
        <v>0</v>
      </c>
      <c r="L53" s="175">
        <f t="shared" si="5"/>
        <v>0</v>
      </c>
      <c r="O53" s="175">
        <f t="shared" si="6"/>
        <v>0</v>
      </c>
      <c r="Q53" s="175">
        <f t="shared" si="7"/>
        <v>0</v>
      </c>
      <c r="S53" s="175">
        <f t="shared" si="8"/>
        <v>0</v>
      </c>
      <c r="U53" s="175">
        <f t="shared" si="9"/>
        <v>0</v>
      </c>
      <c r="X53" s="175">
        <f t="shared" si="10"/>
        <v>0</v>
      </c>
      <c r="Z53" s="175">
        <f t="shared" si="11"/>
        <v>0</v>
      </c>
      <c r="AB53" s="175">
        <f t="shared" si="12"/>
        <v>0</v>
      </c>
      <c r="AD53" s="25"/>
      <c r="AE53" s="175">
        <f t="shared" si="21"/>
        <v>0</v>
      </c>
      <c r="AF53" s="25"/>
      <c r="AG53" s="175">
        <f t="shared" si="22"/>
        <v>0</v>
      </c>
      <c r="AJ53" s="175">
        <f t="shared" si="16"/>
        <v>0</v>
      </c>
      <c r="AL53" s="175">
        <f t="shared" si="17"/>
        <v>0</v>
      </c>
      <c r="AR53" s="188"/>
      <c r="AS53" s="188"/>
    </row>
    <row r="54" spans="6:45" ht="18.75" customHeight="1">
      <c r="F54" s="175">
        <f t="shared" si="2"/>
        <v>0</v>
      </c>
      <c r="H54" s="175">
        <f t="shared" si="3"/>
        <v>0</v>
      </c>
      <c r="J54" s="175">
        <f t="shared" si="4"/>
        <v>0</v>
      </c>
      <c r="L54" s="175">
        <f t="shared" si="5"/>
        <v>0</v>
      </c>
      <c r="O54" s="175">
        <f t="shared" si="6"/>
        <v>0</v>
      </c>
      <c r="Q54" s="175">
        <f t="shared" si="7"/>
        <v>0</v>
      </c>
      <c r="S54" s="175">
        <f t="shared" si="8"/>
        <v>0</v>
      </c>
      <c r="U54" s="175">
        <f t="shared" si="9"/>
        <v>0</v>
      </c>
      <c r="X54" s="175">
        <f t="shared" si="10"/>
        <v>0</v>
      </c>
      <c r="Z54" s="175">
        <f t="shared" si="11"/>
        <v>0</v>
      </c>
      <c r="AB54" s="175">
        <f t="shared" si="12"/>
        <v>0</v>
      </c>
      <c r="AD54" s="25"/>
      <c r="AE54" s="175">
        <f t="shared" si="21"/>
        <v>0</v>
      </c>
      <c r="AF54" s="25"/>
      <c r="AG54" s="175">
        <f t="shared" si="22"/>
        <v>0</v>
      </c>
      <c r="AJ54" s="175">
        <f t="shared" si="16"/>
        <v>0</v>
      </c>
      <c r="AL54" s="175">
        <f t="shared" si="17"/>
        <v>0</v>
      </c>
      <c r="AR54" s="188"/>
      <c r="AS54" s="188"/>
    </row>
    <row r="55" spans="6:45" ht="18.75" customHeight="1">
      <c r="F55" s="175">
        <f t="shared" si="2"/>
        <v>0</v>
      </c>
      <c r="H55" s="175">
        <f t="shared" si="3"/>
        <v>0</v>
      </c>
      <c r="J55" s="175">
        <f t="shared" si="4"/>
        <v>0</v>
      </c>
      <c r="L55" s="175">
        <f t="shared" si="5"/>
        <v>0</v>
      </c>
      <c r="O55" s="175">
        <f t="shared" si="6"/>
        <v>0</v>
      </c>
      <c r="Q55" s="175">
        <f t="shared" si="7"/>
        <v>0</v>
      </c>
      <c r="S55" s="175">
        <f t="shared" si="8"/>
        <v>0</v>
      </c>
      <c r="U55" s="175">
        <f t="shared" si="9"/>
        <v>0</v>
      </c>
      <c r="X55" s="175">
        <f t="shared" si="10"/>
        <v>0</v>
      </c>
      <c r="Z55" s="175">
        <f t="shared" si="11"/>
        <v>0</v>
      </c>
      <c r="AB55" s="175">
        <f t="shared" si="12"/>
        <v>0</v>
      </c>
      <c r="AD55" s="25"/>
      <c r="AE55" s="175">
        <f t="shared" si="21"/>
        <v>0</v>
      </c>
      <c r="AF55" s="25"/>
      <c r="AG55" s="175">
        <f t="shared" si="22"/>
        <v>0</v>
      </c>
      <c r="AJ55" s="175">
        <f t="shared" si="16"/>
        <v>0</v>
      </c>
      <c r="AL55" s="175">
        <f t="shared" si="17"/>
        <v>0</v>
      </c>
    </row>
    <row r="56" spans="6:45" ht="18.75" customHeight="1">
      <c r="F56" s="175">
        <f t="shared" si="2"/>
        <v>0</v>
      </c>
      <c r="H56" s="175">
        <f t="shared" si="3"/>
        <v>0</v>
      </c>
      <c r="J56" s="175">
        <f t="shared" si="4"/>
        <v>0</v>
      </c>
      <c r="L56" s="175">
        <f t="shared" si="5"/>
        <v>0</v>
      </c>
      <c r="O56" s="175">
        <f t="shared" si="6"/>
        <v>0</v>
      </c>
      <c r="Q56" s="175">
        <f t="shared" si="7"/>
        <v>0</v>
      </c>
      <c r="S56" s="175">
        <f t="shared" si="8"/>
        <v>0</v>
      </c>
      <c r="U56" s="175">
        <f t="shared" si="9"/>
        <v>0</v>
      </c>
      <c r="X56" s="175">
        <f t="shared" si="10"/>
        <v>0</v>
      </c>
      <c r="Z56" s="175">
        <f t="shared" si="11"/>
        <v>0</v>
      </c>
      <c r="AB56" s="175">
        <f t="shared" si="12"/>
        <v>0</v>
      </c>
      <c r="AD56" s="25"/>
      <c r="AE56" s="175">
        <f t="shared" si="21"/>
        <v>0</v>
      </c>
      <c r="AF56" s="25"/>
      <c r="AG56" s="175">
        <f t="shared" si="22"/>
        <v>0</v>
      </c>
      <c r="AJ56" s="175">
        <f t="shared" si="16"/>
        <v>0</v>
      </c>
      <c r="AL56" s="175">
        <f t="shared" si="17"/>
        <v>0</v>
      </c>
    </row>
    <row r="57" spans="6:45" ht="18.75" customHeight="1">
      <c r="F57" s="175">
        <f t="shared" si="2"/>
        <v>0</v>
      </c>
      <c r="H57" s="175">
        <f t="shared" si="3"/>
        <v>0</v>
      </c>
      <c r="J57" s="175">
        <f t="shared" si="4"/>
        <v>0</v>
      </c>
      <c r="L57" s="175">
        <f t="shared" si="5"/>
        <v>0</v>
      </c>
      <c r="O57" s="175">
        <f t="shared" si="6"/>
        <v>0</v>
      </c>
      <c r="Q57" s="175">
        <f t="shared" si="7"/>
        <v>0</v>
      </c>
      <c r="S57" s="175">
        <f t="shared" si="8"/>
        <v>0</v>
      </c>
      <c r="U57" s="175">
        <f t="shared" si="9"/>
        <v>0</v>
      </c>
      <c r="X57" s="175">
        <f t="shared" si="10"/>
        <v>0</v>
      </c>
      <c r="Z57" s="175">
        <f t="shared" si="11"/>
        <v>0</v>
      </c>
      <c r="AB57" s="175">
        <f t="shared" si="12"/>
        <v>0</v>
      </c>
      <c r="AD57" s="25"/>
      <c r="AE57" s="175">
        <f t="shared" si="21"/>
        <v>0</v>
      </c>
      <c r="AF57" s="25"/>
      <c r="AG57" s="175">
        <f t="shared" si="22"/>
        <v>0</v>
      </c>
      <c r="AJ57" s="175">
        <f t="shared" si="16"/>
        <v>0</v>
      </c>
      <c r="AL57" s="175">
        <f t="shared" si="17"/>
        <v>0</v>
      </c>
    </row>
    <row r="58" spans="6:45">
      <c r="F58" s="175">
        <f t="shared" si="2"/>
        <v>0</v>
      </c>
      <c r="H58" s="175">
        <f t="shared" si="3"/>
        <v>0</v>
      </c>
      <c r="J58" s="175">
        <f t="shared" si="4"/>
        <v>0</v>
      </c>
      <c r="L58" s="175">
        <f t="shared" si="5"/>
        <v>0</v>
      </c>
      <c r="O58" s="175">
        <f t="shared" si="6"/>
        <v>0</v>
      </c>
      <c r="Q58" s="175">
        <f t="shared" si="7"/>
        <v>0</v>
      </c>
      <c r="S58" s="175">
        <f t="shared" si="8"/>
        <v>0</v>
      </c>
      <c r="U58" s="175">
        <f t="shared" si="9"/>
        <v>0</v>
      </c>
      <c r="X58" s="175">
        <f t="shared" si="10"/>
        <v>0</v>
      </c>
      <c r="Z58" s="175">
        <f t="shared" si="11"/>
        <v>0</v>
      </c>
      <c r="AB58" s="175">
        <f t="shared" si="12"/>
        <v>0</v>
      </c>
      <c r="AD58" s="25"/>
      <c r="AE58" s="175">
        <f t="shared" si="21"/>
        <v>0</v>
      </c>
      <c r="AF58" s="25"/>
      <c r="AG58" s="175">
        <f t="shared" si="22"/>
        <v>0</v>
      </c>
      <c r="AJ58" s="175">
        <f t="shared" si="16"/>
        <v>0</v>
      </c>
      <c r="AL58" s="175">
        <f t="shared" si="17"/>
        <v>0</v>
      </c>
    </row>
    <row r="59" spans="6:45">
      <c r="F59" s="175">
        <f t="shared" si="2"/>
        <v>0</v>
      </c>
      <c r="H59" s="175">
        <f t="shared" si="3"/>
        <v>0</v>
      </c>
      <c r="J59" s="175">
        <f t="shared" si="4"/>
        <v>0</v>
      </c>
      <c r="L59" s="175">
        <f t="shared" si="5"/>
        <v>0</v>
      </c>
      <c r="O59" s="175">
        <f t="shared" si="6"/>
        <v>0</v>
      </c>
      <c r="Q59" s="175">
        <f t="shared" si="7"/>
        <v>0</v>
      </c>
      <c r="S59" s="175">
        <f t="shared" si="8"/>
        <v>0</v>
      </c>
      <c r="U59" s="175">
        <f t="shared" si="9"/>
        <v>0</v>
      </c>
      <c r="X59" s="175">
        <f t="shared" si="10"/>
        <v>0</v>
      </c>
      <c r="Z59" s="175">
        <f t="shared" si="11"/>
        <v>0</v>
      </c>
      <c r="AB59" s="175">
        <f t="shared" si="12"/>
        <v>0</v>
      </c>
      <c r="AD59" s="25"/>
      <c r="AE59" s="175">
        <f t="shared" si="21"/>
        <v>0</v>
      </c>
      <c r="AF59" s="25"/>
      <c r="AG59" s="175">
        <f t="shared" si="22"/>
        <v>0</v>
      </c>
      <c r="AJ59" s="175">
        <f t="shared" si="16"/>
        <v>0</v>
      </c>
      <c r="AL59" s="175">
        <f t="shared" si="17"/>
        <v>0</v>
      </c>
    </row>
    <row r="60" spans="6:45">
      <c r="F60" s="175">
        <f t="shared" si="2"/>
        <v>0</v>
      </c>
      <c r="H60" s="175">
        <f t="shared" si="3"/>
        <v>0</v>
      </c>
      <c r="J60" s="175">
        <f t="shared" si="4"/>
        <v>0</v>
      </c>
      <c r="L60" s="175">
        <f t="shared" si="5"/>
        <v>0</v>
      </c>
      <c r="O60" s="175">
        <f t="shared" si="6"/>
        <v>0</v>
      </c>
      <c r="Q60" s="175">
        <f t="shared" si="7"/>
        <v>0</v>
      </c>
      <c r="S60" s="175">
        <f t="shared" si="8"/>
        <v>0</v>
      </c>
      <c r="U60" s="175">
        <f t="shared" si="9"/>
        <v>0</v>
      </c>
      <c r="X60" s="175">
        <f t="shared" si="10"/>
        <v>0</v>
      </c>
      <c r="Z60" s="175">
        <f t="shared" si="11"/>
        <v>0</v>
      </c>
      <c r="AB60" s="175">
        <f t="shared" si="12"/>
        <v>0</v>
      </c>
      <c r="AD60" s="25"/>
      <c r="AE60" s="175">
        <f t="shared" si="21"/>
        <v>0</v>
      </c>
      <c r="AF60" s="25"/>
      <c r="AG60" s="175">
        <f t="shared" si="22"/>
        <v>0</v>
      </c>
      <c r="AJ60" s="175">
        <f t="shared" si="16"/>
        <v>0</v>
      </c>
      <c r="AL60" s="175">
        <f t="shared" si="17"/>
        <v>0</v>
      </c>
    </row>
    <row r="61" spans="6:45">
      <c r="F61" s="175">
        <f t="shared" si="2"/>
        <v>0</v>
      </c>
      <c r="H61" s="175">
        <f t="shared" si="3"/>
        <v>0</v>
      </c>
      <c r="J61" s="175">
        <f t="shared" si="4"/>
        <v>0</v>
      </c>
      <c r="L61" s="175">
        <f t="shared" si="5"/>
        <v>0</v>
      </c>
      <c r="O61" s="175">
        <f t="shared" si="6"/>
        <v>0</v>
      </c>
      <c r="Q61" s="175">
        <f t="shared" si="7"/>
        <v>0</v>
      </c>
      <c r="S61" s="175">
        <f t="shared" si="8"/>
        <v>0</v>
      </c>
      <c r="U61" s="175">
        <f t="shared" si="9"/>
        <v>0</v>
      </c>
      <c r="X61" s="175">
        <f t="shared" si="10"/>
        <v>0</v>
      </c>
      <c r="Z61" s="175">
        <f t="shared" si="11"/>
        <v>0</v>
      </c>
      <c r="AB61" s="175">
        <f t="shared" si="12"/>
        <v>0</v>
      </c>
      <c r="AD61" s="25"/>
      <c r="AE61" s="175">
        <f t="shared" si="21"/>
        <v>0</v>
      </c>
      <c r="AF61" s="25"/>
      <c r="AG61" s="175">
        <f t="shared" si="22"/>
        <v>0</v>
      </c>
      <c r="AJ61" s="175">
        <f t="shared" si="16"/>
        <v>0</v>
      </c>
      <c r="AL61" s="175">
        <f t="shared" si="17"/>
        <v>0</v>
      </c>
    </row>
    <row r="62" spans="6:45">
      <c r="F62" s="175">
        <f t="shared" si="2"/>
        <v>0</v>
      </c>
      <c r="H62" s="175">
        <f t="shared" si="3"/>
        <v>0</v>
      </c>
      <c r="J62" s="175">
        <f t="shared" si="4"/>
        <v>0</v>
      </c>
      <c r="L62" s="175">
        <f t="shared" si="5"/>
        <v>0</v>
      </c>
      <c r="O62" s="175">
        <f t="shared" si="6"/>
        <v>0</v>
      </c>
      <c r="Q62" s="175">
        <f t="shared" si="7"/>
        <v>0</v>
      </c>
      <c r="S62" s="175">
        <f t="shared" si="8"/>
        <v>0</v>
      </c>
      <c r="U62" s="175">
        <f t="shared" si="9"/>
        <v>0</v>
      </c>
      <c r="X62" s="175">
        <f t="shared" si="10"/>
        <v>0</v>
      </c>
      <c r="Z62" s="175">
        <f t="shared" si="11"/>
        <v>0</v>
      </c>
      <c r="AB62" s="175">
        <f t="shared" si="12"/>
        <v>0</v>
      </c>
      <c r="AD62" s="25"/>
      <c r="AE62" s="175">
        <f t="shared" si="21"/>
        <v>0</v>
      </c>
      <c r="AF62" s="25"/>
      <c r="AG62" s="175">
        <f t="shared" si="22"/>
        <v>0</v>
      </c>
      <c r="AJ62" s="175">
        <f t="shared" si="16"/>
        <v>0</v>
      </c>
      <c r="AL62" s="175">
        <f t="shared" si="17"/>
        <v>0</v>
      </c>
    </row>
    <row r="63" spans="6:45">
      <c r="F63" s="175">
        <f t="shared" si="2"/>
        <v>0</v>
      </c>
      <c r="H63" s="175">
        <f t="shared" si="3"/>
        <v>0</v>
      </c>
      <c r="J63" s="175">
        <f t="shared" si="4"/>
        <v>0</v>
      </c>
      <c r="L63" s="175">
        <f t="shared" si="5"/>
        <v>0</v>
      </c>
      <c r="O63" s="175">
        <f t="shared" si="6"/>
        <v>0</v>
      </c>
      <c r="Q63" s="175">
        <f t="shared" si="7"/>
        <v>0</v>
      </c>
      <c r="S63" s="175">
        <f t="shared" si="8"/>
        <v>0</v>
      </c>
      <c r="U63" s="175">
        <f t="shared" si="9"/>
        <v>0</v>
      </c>
      <c r="X63" s="175">
        <f t="shared" si="10"/>
        <v>0</v>
      </c>
      <c r="Z63" s="175">
        <f t="shared" si="11"/>
        <v>0</v>
      </c>
      <c r="AB63" s="175">
        <f t="shared" si="12"/>
        <v>0</v>
      </c>
      <c r="AD63" s="25"/>
      <c r="AE63" s="175">
        <f t="shared" si="21"/>
        <v>0</v>
      </c>
      <c r="AF63" s="25"/>
      <c r="AG63" s="175">
        <f t="shared" si="22"/>
        <v>0</v>
      </c>
      <c r="AJ63" s="175">
        <f t="shared" si="16"/>
        <v>0</v>
      </c>
      <c r="AL63" s="175">
        <f t="shared" si="17"/>
        <v>0</v>
      </c>
    </row>
    <row r="64" spans="6:45">
      <c r="F64" s="175">
        <f t="shared" si="2"/>
        <v>0</v>
      </c>
      <c r="H64" s="175">
        <f t="shared" si="3"/>
        <v>0</v>
      </c>
      <c r="J64" s="175">
        <f t="shared" si="4"/>
        <v>0</v>
      </c>
      <c r="L64" s="175">
        <f t="shared" si="5"/>
        <v>0</v>
      </c>
      <c r="O64" s="175">
        <f t="shared" si="6"/>
        <v>0</v>
      </c>
      <c r="Q64" s="175">
        <f t="shared" si="7"/>
        <v>0</v>
      </c>
      <c r="S64" s="175">
        <f t="shared" si="8"/>
        <v>0</v>
      </c>
      <c r="U64" s="175">
        <f t="shared" si="9"/>
        <v>0</v>
      </c>
      <c r="X64" s="175">
        <f t="shared" si="10"/>
        <v>0</v>
      </c>
      <c r="Z64" s="175">
        <f t="shared" si="11"/>
        <v>0</v>
      </c>
      <c r="AB64" s="175">
        <f t="shared" si="12"/>
        <v>0</v>
      </c>
      <c r="AD64" s="25"/>
      <c r="AE64" s="175">
        <f t="shared" si="21"/>
        <v>0</v>
      </c>
      <c r="AF64" s="25"/>
      <c r="AG64" s="175">
        <f t="shared" si="22"/>
        <v>0</v>
      </c>
      <c r="AJ64" s="175">
        <f t="shared" si="16"/>
        <v>0</v>
      </c>
      <c r="AL64" s="175">
        <f t="shared" si="17"/>
        <v>0</v>
      </c>
    </row>
    <row r="65" spans="6:38">
      <c r="F65" s="175">
        <f t="shared" si="2"/>
        <v>0</v>
      </c>
      <c r="H65" s="175">
        <f t="shared" si="3"/>
        <v>0</v>
      </c>
      <c r="J65" s="175">
        <f t="shared" si="4"/>
        <v>0</v>
      </c>
      <c r="L65" s="175">
        <f t="shared" si="5"/>
        <v>0</v>
      </c>
      <c r="O65" s="175">
        <f t="shared" si="6"/>
        <v>0</v>
      </c>
      <c r="Q65" s="175">
        <f t="shared" si="7"/>
        <v>0</v>
      </c>
      <c r="S65" s="175">
        <f t="shared" si="8"/>
        <v>0</v>
      </c>
      <c r="U65" s="175">
        <f t="shared" si="9"/>
        <v>0</v>
      </c>
      <c r="X65" s="175">
        <f t="shared" si="10"/>
        <v>0</v>
      </c>
      <c r="Z65" s="175">
        <f t="shared" si="11"/>
        <v>0</v>
      </c>
      <c r="AB65" s="175">
        <f t="shared" si="12"/>
        <v>0</v>
      </c>
      <c r="AD65" s="25"/>
      <c r="AE65" s="175">
        <f t="shared" si="21"/>
        <v>0</v>
      </c>
      <c r="AF65" s="25"/>
      <c r="AG65" s="175">
        <f t="shared" si="22"/>
        <v>0</v>
      </c>
      <c r="AJ65" s="175">
        <f t="shared" si="16"/>
        <v>0</v>
      </c>
      <c r="AL65" s="175">
        <f t="shared" si="17"/>
        <v>0</v>
      </c>
    </row>
    <row r="66" spans="6:38">
      <c r="F66" s="175">
        <f t="shared" si="2"/>
        <v>0</v>
      </c>
      <c r="H66" s="175">
        <f t="shared" si="3"/>
        <v>0</v>
      </c>
      <c r="J66" s="175">
        <f t="shared" si="4"/>
        <v>0</v>
      </c>
      <c r="L66" s="175">
        <f t="shared" si="5"/>
        <v>0</v>
      </c>
      <c r="O66" s="175">
        <f t="shared" si="6"/>
        <v>0</v>
      </c>
      <c r="Q66" s="175">
        <f t="shared" si="7"/>
        <v>0</v>
      </c>
      <c r="S66" s="175">
        <f t="shared" si="8"/>
        <v>0</v>
      </c>
      <c r="U66" s="175">
        <f t="shared" si="9"/>
        <v>0</v>
      </c>
      <c r="X66" s="175">
        <f t="shared" si="10"/>
        <v>0</v>
      </c>
      <c r="Z66" s="175">
        <f t="shared" si="11"/>
        <v>0</v>
      </c>
      <c r="AB66" s="175">
        <f t="shared" si="12"/>
        <v>0</v>
      </c>
      <c r="AD66" s="25"/>
      <c r="AE66" s="175">
        <f t="shared" si="21"/>
        <v>0</v>
      </c>
      <c r="AF66" s="25"/>
      <c r="AG66" s="175">
        <f t="shared" si="22"/>
        <v>0</v>
      </c>
      <c r="AJ66" s="175">
        <f t="shared" si="16"/>
        <v>0</v>
      </c>
      <c r="AL66" s="175">
        <f t="shared" si="17"/>
        <v>0</v>
      </c>
    </row>
    <row r="67" spans="6:38">
      <c r="F67" s="175">
        <f t="shared" si="2"/>
        <v>0</v>
      </c>
      <c r="H67" s="175">
        <f t="shared" si="3"/>
        <v>0</v>
      </c>
      <c r="J67" s="175">
        <f t="shared" si="4"/>
        <v>0</v>
      </c>
      <c r="L67" s="175">
        <f t="shared" si="5"/>
        <v>0</v>
      </c>
      <c r="O67" s="175">
        <f t="shared" si="6"/>
        <v>0</v>
      </c>
      <c r="Q67" s="175">
        <f t="shared" si="7"/>
        <v>0</v>
      </c>
      <c r="S67" s="175">
        <f t="shared" si="8"/>
        <v>0</v>
      </c>
      <c r="U67" s="175">
        <f t="shared" si="9"/>
        <v>0</v>
      </c>
      <c r="X67" s="175">
        <f t="shared" si="10"/>
        <v>0</v>
      </c>
      <c r="Z67" s="175">
        <f t="shared" si="11"/>
        <v>0</v>
      </c>
      <c r="AB67" s="175">
        <f t="shared" si="12"/>
        <v>0</v>
      </c>
      <c r="AD67" s="25"/>
      <c r="AE67" s="175">
        <f t="shared" si="21"/>
        <v>0</v>
      </c>
      <c r="AF67" s="25"/>
      <c r="AG67" s="175">
        <f t="shared" si="22"/>
        <v>0</v>
      </c>
      <c r="AJ67" s="175">
        <f t="shared" si="16"/>
        <v>0</v>
      </c>
      <c r="AL67" s="175">
        <f t="shared" si="17"/>
        <v>0</v>
      </c>
    </row>
    <row r="68" spans="6:38">
      <c r="F68" s="175">
        <f t="shared" si="2"/>
        <v>0</v>
      </c>
      <c r="H68" s="175">
        <f t="shared" si="3"/>
        <v>0</v>
      </c>
      <c r="J68" s="175">
        <f t="shared" si="4"/>
        <v>0</v>
      </c>
      <c r="L68" s="175">
        <f t="shared" si="5"/>
        <v>0</v>
      </c>
      <c r="O68" s="175">
        <f t="shared" si="6"/>
        <v>0</v>
      </c>
      <c r="Q68" s="175">
        <f t="shared" si="7"/>
        <v>0</v>
      </c>
      <c r="S68" s="175">
        <f t="shared" si="8"/>
        <v>0</v>
      </c>
      <c r="U68" s="175">
        <f t="shared" si="9"/>
        <v>0</v>
      </c>
      <c r="X68" s="175">
        <f t="shared" si="10"/>
        <v>0</v>
      </c>
      <c r="Z68" s="175">
        <f t="shared" si="11"/>
        <v>0</v>
      </c>
      <c r="AB68" s="175">
        <f t="shared" si="12"/>
        <v>0</v>
      </c>
      <c r="AD68" s="25"/>
      <c r="AE68" s="175">
        <f t="shared" si="21"/>
        <v>0</v>
      </c>
      <c r="AF68" s="25"/>
      <c r="AG68" s="175">
        <f t="shared" si="22"/>
        <v>0</v>
      </c>
      <c r="AJ68" s="175">
        <f t="shared" si="16"/>
        <v>0</v>
      </c>
      <c r="AL68" s="175">
        <f t="shared" si="17"/>
        <v>0</v>
      </c>
    </row>
    <row r="69" spans="6:38">
      <c r="F69" s="175">
        <f t="shared" ref="F69:F121" si="23">E69*$F$1/$E$1</f>
        <v>0</v>
      </c>
      <c r="H69" s="175">
        <f t="shared" ref="H69:H131" si="24">G69*$H$1/$G$1</f>
        <v>0</v>
      </c>
      <c r="J69" s="175">
        <f t="shared" ref="J69:J131" si="25">I69*$J$1/$I$1</f>
        <v>0</v>
      </c>
      <c r="L69" s="175">
        <f t="shared" ref="L69:L131" si="26">K69*$L$1/$K$1</f>
        <v>0</v>
      </c>
      <c r="O69" s="175">
        <f t="shared" ref="O69:O131" si="27">N69*$O$1/$N$1</f>
        <v>0</v>
      </c>
      <c r="Q69" s="175">
        <f t="shared" ref="Q69:Q131" si="28">P69*$Q$1/$P$1</f>
        <v>0</v>
      </c>
      <c r="S69" s="175">
        <f t="shared" ref="S69:S131" si="29">R69*$S$1/$R$1</f>
        <v>0</v>
      </c>
      <c r="U69" s="175">
        <f t="shared" ref="U69:U131" si="30">T69*$U$1/$T$1</f>
        <v>0</v>
      </c>
      <c r="X69" s="175">
        <f t="shared" ref="X69:X131" si="31">W69*$X$1/$W$1</f>
        <v>0</v>
      </c>
      <c r="Z69" s="175">
        <f t="shared" ref="Z69:Z131" si="32">Y69*$Z$1/$Y$1</f>
        <v>0</v>
      </c>
      <c r="AB69" s="175">
        <f t="shared" ref="AB69:AB131" si="33">AA69*$AB$1/$AA$1</f>
        <v>0</v>
      </c>
      <c r="AD69" s="25"/>
      <c r="AE69" s="175">
        <f t="shared" si="21"/>
        <v>0</v>
      </c>
      <c r="AF69" s="25"/>
      <c r="AG69" s="175">
        <f t="shared" ref="AG69:AG115" si="34">AF69*$Z$1/$Y$1</f>
        <v>0</v>
      </c>
      <c r="AJ69" s="175">
        <f t="shared" ref="AJ69:AJ131" si="35">AI69*$AJ$1/$AI$1</f>
        <v>0</v>
      </c>
      <c r="AL69" s="175">
        <f t="shared" ref="AL69:AL131" si="36">AK69*$AL$1/$AK$1</f>
        <v>0</v>
      </c>
    </row>
    <row r="70" spans="6:38">
      <c r="F70" s="175">
        <f t="shared" si="23"/>
        <v>0</v>
      </c>
      <c r="H70" s="175">
        <f t="shared" si="24"/>
        <v>0</v>
      </c>
      <c r="J70" s="175">
        <f t="shared" si="25"/>
        <v>0</v>
      </c>
      <c r="L70" s="175">
        <f t="shared" si="26"/>
        <v>0</v>
      </c>
      <c r="O70" s="175">
        <f t="shared" si="27"/>
        <v>0</v>
      </c>
      <c r="Q70" s="175">
        <f t="shared" si="28"/>
        <v>0</v>
      </c>
      <c r="S70" s="175">
        <f t="shared" si="29"/>
        <v>0</v>
      </c>
      <c r="U70" s="175">
        <f t="shared" si="30"/>
        <v>0</v>
      </c>
      <c r="X70" s="175">
        <f t="shared" si="31"/>
        <v>0</v>
      </c>
      <c r="Z70" s="175">
        <f t="shared" si="32"/>
        <v>0</v>
      </c>
      <c r="AB70" s="175">
        <f t="shared" si="33"/>
        <v>0</v>
      </c>
      <c r="AD70" s="25"/>
      <c r="AE70" s="175">
        <f t="shared" ref="AE70:AE115" si="37">AD70*$X$1/$W$1</f>
        <v>0</v>
      </c>
      <c r="AF70" s="25"/>
      <c r="AG70" s="175">
        <f t="shared" si="34"/>
        <v>0</v>
      </c>
      <c r="AJ70" s="175">
        <f t="shared" si="35"/>
        <v>0</v>
      </c>
      <c r="AL70" s="175">
        <f t="shared" si="36"/>
        <v>0</v>
      </c>
    </row>
    <row r="71" spans="6:38">
      <c r="F71" s="175">
        <f t="shared" si="23"/>
        <v>0</v>
      </c>
      <c r="H71" s="175">
        <f t="shared" si="24"/>
        <v>0</v>
      </c>
      <c r="J71" s="175">
        <f t="shared" si="25"/>
        <v>0</v>
      </c>
      <c r="L71" s="175">
        <f t="shared" si="26"/>
        <v>0</v>
      </c>
      <c r="O71" s="175">
        <f t="shared" si="27"/>
        <v>0</v>
      </c>
      <c r="Q71" s="175">
        <f t="shared" si="28"/>
        <v>0</v>
      </c>
      <c r="S71" s="175">
        <f t="shared" si="29"/>
        <v>0</v>
      </c>
      <c r="U71" s="175">
        <f t="shared" si="30"/>
        <v>0</v>
      </c>
      <c r="X71" s="175">
        <f t="shared" si="31"/>
        <v>0</v>
      </c>
      <c r="Z71" s="175">
        <f t="shared" si="32"/>
        <v>0</v>
      </c>
      <c r="AB71" s="175">
        <f t="shared" si="33"/>
        <v>0</v>
      </c>
      <c r="AD71" s="25"/>
      <c r="AE71" s="175">
        <f t="shared" si="37"/>
        <v>0</v>
      </c>
      <c r="AF71" s="25"/>
      <c r="AG71" s="175">
        <f t="shared" si="34"/>
        <v>0</v>
      </c>
      <c r="AJ71" s="175">
        <f t="shared" si="35"/>
        <v>0</v>
      </c>
      <c r="AL71" s="175">
        <f t="shared" si="36"/>
        <v>0</v>
      </c>
    </row>
    <row r="72" spans="6:38">
      <c r="F72" s="175">
        <f t="shared" si="23"/>
        <v>0</v>
      </c>
      <c r="H72" s="175">
        <f t="shared" si="24"/>
        <v>0</v>
      </c>
      <c r="J72" s="175">
        <f t="shared" si="25"/>
        <v>0</v>
      </c>
      <c r="L72" s="175">
        <f t="shared" si="26"/>
        <v>0</v>
      </c>
      <c r="O72" s="175">
        <f t="shared" si="27"/>
        <v>0</v>
      </c>
      <c r="Q72" s="175">
        <f t="shared" si="28"/>
        <v>0</v>
      </c>
      <c r="S72" s="175">
        <f t="shared" si="29"/>
        <v>0</v>
      </c>
      <c r="U72" s="175">
        <f t="shared" si="30"/>
        <v>0</v>
      </c>
      <c r="X72" s="175">
        <f t="shared" si="31"/>
        <v>0</v>
      </c>
      <c r="Z72" s="175">
        <f t="shared" si="32"/>
        <v>0</v>
      </c>
      <c r="AB72" s="175">
        <f t="shared" si="33"/>
        <v>0</v>
      </c>
      <c r="AD72" s="25"/>
      <c r="AE72" s="175">
        <f t="shared" si="37"/>
        <v>0</v>
      </c>
      <c r="AF72" s="25"/>
      <c r="AG72" s="175">
        <f t="shared" si="34"/>
        <v>0</v>
      </c>
      <c r="AJ72" s="175">
        <f t="shared" si="35"/>
        <v>0</v>
      </c>
      <c r="AL72" s="175">
        <f t="shared" si="36"/>
        <v>0</v>
      </c>
    </row>
    <row r="73" spans="6:38">
      <c r="F73" s="175">
        <f t="shared" si="23"/>
        <v>0</v>
      </c>
      <c r="H73" s="175">
        <f t="shared" si="24"/>
        <v>0</v>
      </c>
      <c r="J73" s="175">
        <f t="shared" si="25"/>
        <v>0</v>
      </c>
      <c r="L73" s="175">
        <f t="shared" si="26"/>
        <v>0</v>
      </c>
      <c r="O73" s="175">
        <f t="shared" si="27"/>
        <v>0</v>
      </c>
      <c r="Q73" s="175">
        <f t="shared" si="28"/>
        <v>0</v>
      </c>
      <c r="S73" s="175">
        <f t="shared" si="29"/>
        <v>0</v>
      </c>
      <c r="U73" s="175">
        <f t="shared" si="30"/>
        <v>0</v>
      </c>
      <c r="X73" s="175">
        <f t="shared" si="31"/>
        <v>0</v>
      </c>
      <c r="Z73" s="175">
        <f t="shared" si="32"/>
        <v>0</v>
      </c>
      <c r="AB73" s="175">
        <f t="shared" si="33"/>
        <v>0</v>
      </c>
      <c r="AD73" s="25"/>
      <c r="AE73" s="175">
        <f t="shared" si="37"/>
        <v>0</v>
      </c>
      <c r="AF73" s="25"/>
      <c r="AG73" s="175">
        <f t="shared" si="34"/>
        <v>0</v>
      </c>
      <c r="AJ73" s="175">
        <f t="shared" si="35"/>
        <v>0</v>
      </c>
      <c r="AL73" s="175">
        <f t="shared" si="36"/>
        <v>0</v>
      </c>
    </row>
    <row r="74" spans="6:38">
      <c r="F74" s="175">
        <f t="shared" si="23"/>
        <v>0</v>
      </c>
      <c r="H74" s="175">
        <f t="shared" si="24"/>
        <v>0</v>
      </c>
      <c r="J74" s="175">
        <f t="shared" si="25"/>
        <v>0</v>
      </c>
      <c r="L74" s="175">
        <f t="shared" si="26"/>
        <v>0</v>
      </c>
      <c r="O74" s="175">
        <f t="shared" si="27"/>
        <v>0</v>
      </c>
      <c r="Q74" s="175">
        <f t="shared" si="28"/>
        <v>0</v>
      </c>
      <c r="S74" s="175">
        <f t="shared" si="29"/>
        <v>0</v>
      </c>
      <c r="U74" s="175">
        <f t="shared" si="30"/>
        <v>0</v>
      </c>
      <c r="X74" s="175">
        <f t="shared" si="31"/>
        <v>0</v>
      </c>
      <c r="Z74" s="175">
        <f t="shared" si="32"/>
        <v>0</v>
      </c>
      <c r="AB74" s="175">
        <f t="shared" si="33"/>
        <v>0</v>
      </c>
      <c r="AD74" s="25"/>
      <c r="AE74" s="175">
        <f t="shared" si="37"/>
        <v>0</v>
      </c>
      <c r="AF74" s="25"/>
      <c r="AG74" s="175">
        <f t="shared" si="34"/>
        <v>0</v>
      </c>
      <c r="AJ74" s="175">
        <f t="shared" si="35"/>
        <v>0</v>
      </c>
      <c r="AL74" s="175">
        <f t="shared" si="36"/>
        <v>0</v>
      </c>
    </row>
    <row r="75" spans="6:38">
      <c r="F75" s="175">
        <f t="shared" si="23"/>
        <v>0</v>
      </c>
      <c r="H75" s="175">
        <f t="shared" si="24"/>
        <v>0</v>
      </c>
      <c r="J75" s="175">
        <f t="shared" si="25"/>
        <v>0</v>
      </c>
      <c r="L75" s="175">
        <f t="shared" si="26"/>
        <v>0</v>
      </c>
      <c r="O75" s="175">
        <f t="shared" si="27"/>
        <v>0</v>
      </c>
      <c r="Q75" s="175">
        <f t="shared" si="28"/>
        <v>0</v>
      </c>
      <c r="S75" s="175">
        <f t="shared" si="29"/>
        <v>0</v>
      </c>
      <c r="U75" s="175">
        <f t="shared" si="30"/>
        <v>0</v>
      </c>
      <c r="X75" s="175">
        <f t="shared" si="31"/>
        <v>0</v>
      </c>
      <c r="Z75" s="175">
        <f t="shared" si="32"/>
        <v>0</v>
      </c>
      <c r="AB75" s="175">
        <f t="shared" si="33"/>
        <v>0</v>
      </c>
      <c r="AD75" s="25"/>
      <c r="AE75" s="175">
        <f t="shared" si="37"/>
        <v>0</v>
      </c>
      <c r="AF75" s="25"/>
      <c r="AG75" s="175">
        <f t="shared" si="34"/>
        <v>0</v>
      </c>
      <c r="AJ75" s="175">
        <f t="shared" si="35"/>
        <v>0</v>
      </c>
      <c r="AL75" s="175">
        <f t="shared" si="36"/>
        <v>0</v>
      </c>
    </row>
    <row r="76" spans="6:38">
      <c r="F76" s="175">
        <f t="shared" si="23"/>
        <v>0</v>
      </c>
      <c r="H76" s="175">
        <f t="shared" si="24"/>
        <v>0</v>
      </c>
      <c r="J76" s="175">
        <f t="shared" si="25"/>
        <v>0</v>
      </c>
      <c r="L76" s="175">
        <f t="shared" si="26"/>
        <v>0</v>
      </c>
      <c r="O76" s="175">
        <f t="shared" si="27"/>
        <v>0</v>
      </c>
      <c r="Q76" s="175">
        <f t="shared" si="28"/>
        <v>0</v>
      </c>
      <c r="S76" s="175">
        <f t="shared" si="29"/>
        <v>0</v>
      </c>
      <c r="U76" s="175">
        <f t="shared" si="30"/>
        <v>0</v>
      </c>
      <c r="X76" s="175">
        <f t="shared" si="31"/>
        <v>0</v>
      </c>
      <c r="Z76" s="175">
        <f t="shared" si="32"/>
        <v>0</v>
      </c>
      <c r="AB76" s="175">
        <f t="shared" si="33"/>
        <v>0</v>
      </c>
      <c r="AD76" s="25"/>
      <c r="AE76" s="175">
        <f t="shared" si="37"/>
        <v>0</v>
      </c>
      <c r="AF76" s="25"/>
      <c r="AG76" s="175">
        <f t="shared" si="34"/>
        <v>0</v>
      </c>
      <c r="AJ76" s="175">
        <f t="shared" si="35"/>
        <v>0</v>
      </c>
      <c r="AL76" s="175">
        <f t="shared" si="36"/>
        <v>0</v>
      </c>
    </row>
    <row r="77" spans="6:38">
      <c r="F77" s="175">
        <f t="shared" si="23"/>
        <v>0</v>
      </c>
      <c r="H77" s="175">
        <f t="shared" si="24"/>
        <v>0</v>
      </c>
      <c r="J77" s="175">
        <f t="shared" si="25"/>
        <v>0</v>
      </c>
      <c r="L77" s="175">
        <f t="shared" si="26"/>
        <v>0</v>
      </c>
      <c r="O77" s="175">
        <f t="shared" si="27"/>
        <v>0</v>
      </c>
      <c r="Q77" s="175">
        <f t="shared" si="28"/>
        <v>0</v>
      </c>
      <c r="S77" s="175">
        <f t="shared" si="29"/>
        <v>0</v>
      </c>
      <c r="U77" s="175">
        <f t="shared" si="30"/>
        <v>0</v>
      </c>
      <c r="X77" s="175">
        <f t="shared" si="31"/>
        <v>0</v>
      </c>
      <c r="Z77" s="175">
        <f t="shared" si="32"/>
        <v>0</v>
      </c>
      <c r="AB77" s="175">
        <f t="shared" si="33"/>
        <v>0</v>
      </c>
      <c r="AD77" s="25"/>
      <c r="AE77" s="175">
        <f t="shared" si="37"/>
        <v>0</v>
      </c>
      <c r="AF77" s="25"/>
      <c r="AG77" s="175">
        <f t="shared" si="34"/>
        <v>0</v>
      </c>
      <c r="AJ77" s="175">
        <f t="shared" si="35"/>
        <v>0</v>
      </c>
      <c r="AL77" s="175">
        <f t="shared" si="36"/>
        <v>0</v>
      </c>
    </row>
    <row r="78" spans="6:38">
      <c r="F78" s="175">
        <f t="shared" si="23"/>
        <v>0</v>
      </c>
      <c r="H78" s="175">
        <f t="shared" si="24"/>
        <v>0</v>
      </c>
      <c r="J78" s="175">
        <f t="shared" si="25"/>
        <v>0</v>
      </c>
      <c r="L78" s="175">
        <f t="shared" si="26"/>
        <v>0</v>
      </c>
      <c r="O78" s="175">
        <f t="shared" si="27"/>
        <v>0</v>
      </c>
      <c r="Q78" s="175">
        <f t="shared" si="28"/>
        <v>0</v>
      </c>
      <c r="S78" s="175">
        <f t="shared" si="29"/>
        <v>0</v>
      </c>
      <c r="U78" s="175">
        <f t="shared" si="30"/>
        <v>0</v>
      </c>
      <c r="X78" s="175">
        <f t="shared" si="31"/>
        <v>0</v>
      </c>
      <c r="Z78" s="175">
        <f t="shared" si="32"/>
        <v>0</v>
      </c>
      <c r="AB78" s="175">
        <f t="shared" si="33"/>
        <v>0</v>
      </c>
      <c r="AD78" s="25"/>
      <c r="AE78" s="175">
        <f t="shared" si="37"/>
        <v>0</v>
      </c>
      <c r="AF78" s="25"/>
      <c r="AG78" s="175">
        <f t="shared" si="34"/>
        <v>0</v>
      </c>
      <c r="AJ78" s="175">
        <f t="shared" si="35"/>
        <v>0</v>
      </c>
      <c r="AL78" s="175">
        <f t="shared" si="36"/>
        <v>0</v>
      </c>
    </row>
    <row r="79" spans="6:38">
      <c r="F79" s="175">
        <f t="shared" si="23"/>
        <v>0</v>
      </c>
      <c r="H79" s="175">
        <f t="shared" si="24"/>
        <v>0</v>
      </c>
      <c r="J79" s="175">
        <f t="shared" si="25"/>
        <v>0</v>
      </c>
      <c r="L79" s="175">
        <f t="shared" si="26"/>
        <v>0</v>
      </c>
      <c r="O79" s="175">
        <f t="shared" si="27"/>
        <v>0</v>
      </c>
      <c r="Q79" s="175">
        <f t="shared" si="28"/>
        <v>0</v>
      </c>
      <c r="S79" s="175">
        <f t="shared" si="29"/>
        <v>0</v>
      </c>
      <c r="U79" s="175">
        <f t="shared" si="30"/>
        <v>0</v>
      </c>
      <c r="X79" s="175">
        <f t="shared" si="31"/>
        <v>0</v>
      </c>
      <c r="Z79" s="175">
        <f t="shared" si="32"/>
        <v>0</v>
      </c>
      <c r="AB79" s="175">
        <f t="shared" si="33"/>
        <v>0</v>
      </c>
      <c r="AD79" s="25"/>
      <c r="AE79" s="175">
        <f t="shared" si="37"/>
        <v>0</v>
      </c>
      <c r="AF79" s="25"/>
      <c r="AG79" s="175">
        <f t="shared" si="34"/>
        <v>0</v>
      </c>
      <c r="AJ79" s="175">
        <f t="shared" si="35"/>
        <v>0</v>
      </c>
      <c r="AL79" s="175">
        <f t="shared" si="36"/>
        <v>0</v>
      </c>
    </row>
    <row r="80" spans="6:38">
      <c r="F80" s="175">
        <f t="shared" si="23"/>
        <v>0</v>
      </c>
      <c r="H80" s="175">
        <f t="shared" si="24"/>
        <v>0</v>
      </c>
      <c r="J80" s="175">
        <f t="shared" si="25"/>
        <v>0</v>
      </c>
      <c r="L80" s="175">
        <f t="shared" si="26"/>
        <v>0</v>
      </c>
      <c r="O80" s="175">
        <f t="shared" si="27"/>
        <v>0</v>
      </c>
      <c r="Q80" s="175">
        <f t="shared" si="28"/>
        <v>0</v>
      </c>
      <c r="S80" s="175">
        <f t="shared" si="29"/>
        <v>0</v>
      </c>
      <c r="U80" s="175">
        <f t="shared" si="30"/>
        <v>0</v>
      </c>
      <c r="X80" s="175">
        <f t="shared" si="31"/>
        <v>0</v>
      </c>
      <c r="Z80" s="175">
        <f t="shared" si="32"/>
        <v>0</v>
      </c>
      <c r="AB80" s="175">
        <f t="shared" si="33"/>
        <v>0</v>
      </c>
      <c r="AD80" s="25"/>
      <c r="AE80" s="175">
        <f t="shared" si="37"/>
        <v>0</v>
      </c>
      <c r="AF80" s="25"/>
      <c r="AG80" s="175">
        <f t="shared" si="34"/>
        <v>0</v>
      </c>
      <c r="AJ80" s="175">
        <f t="shared" si="35"/>
        <v>0</v>
      </c>
      <c r="AL80" s="175">
        <f t="shared" si="36"/>
        <v>0</v>
      </c>
    </row>
    <row r="81" spans="6:38">
      <c r="F81" s="175">
        <f t="shared" si="23"/>
        <v>0</v>
      </c>
      <c r="H81" s="175">
        <f t="shared" si="24"/>
        <v>0</v>
      </c>
      <c r="J81" s="175">
        <f t="shared" si="25"/>
        <v>0</v>
      </c>
      <c r="L81" s="175">
        <f t="shared" si="26"/>
        <v>0</v>
      </c>
      <c r="O81" s="175">
        <f t="shared" si="27"/>
        <v>0</v>
      </c>
      <c r="Q81" s="175">
        <f t="shared" si="28"/>
        <v>0</v>
      </c>
      <c r="S81" s="175">
        <f t="shared" si="29"/>
        <v>0</v>
      </c>
      <c r="U81" s="175">
        <f t="shared" si="30"/>
        <v>0</v>
      </c>
      <c r="X81" s="175">
        <f t="shared" si="31"/>
        <v>0</v>
      </c>
      <c r="Z81" s="175">
        <f t="shared" si="32"/>
        <v>0</v>
      </c>
      <c r="AB81" s="175">
        <f t="shared" si="33"/>
        <v>0</v>
      </c>
      <c r="AD81" s="25"/>
      <c r="AE81" s="175">
        <f t="shared" si="37"/>
        <v>0</v>
      </c>
      <c r="AF81" s="25"/>
      <c r="AG81" s="175">
        <f t="shared" si="34"/>
        <v>0</v>
      </c>
      <c r="AJ81" s="175">
        <f t="shared" si="35"/>
        <v>0</v>
      </c>
      <c r="AL81" s="175">
        <f t="shared" si="36"/>
        <v>0</v>
      </c>
    </row>
    <row r="82" spans="6:38">
      <c r="F82" s="175">
        <f t="shared" si="23"/>
        <v>0</v>
      </c>
      <c r="H82" s="175">
        <f t="shared" si="24"/>
        <v>0</v>
      </c>
      <c r="J82" s="175">
        <f t="shared" si="25"/>
        <v>0</v>
      </c>
      <c r="L82" s="175">
        <f t="shared" si="26"/>
        <v>0</v>
      </c>
      <c r="O82" s="175">
        <f t="shared" si="27"/>
        <v>0</v>
      </c>
      <c r="Q82" s="175">
        <f t="shared" si="28"/>
        <v>0</v>
      </c>
      <c r="S82" s="175">
        <f t="shared" si="29"/>
        <v>0</v>
      </c>
      <c r="U82" s="175">
        <f t="shared" si="30"/>
        <v>0</v>
      </c>
      <c r="X82" s="175">
        <f t="shared" si="31"/>
        <v>0</v>
      </c>
      <c r="Z82" s="175">
        <f t="shared" si="32"/>
        <v>0</v>
      </c>
      <c r="AB82" s="175">
        <f t="shared" si="33"/>
        <v>0</v>
      </c>
      <c r="AD82" s="25"/>
      <c r="AE82" s="175">
        <f t="shared" si="37"/>
        <v>0</v>
      </c>
      <c r="AF82" s="25"/>
      <c r="AG82" s="175">
        <f t="shared" si="34"/>
        <v>0</v>
      </c>
      <c r="AJ82" s="175">
        <f t="shared" si="35"/>
        <v>0</v>
      </c>
      <c r="AL82" s="175">
        <f t="shared" si="36"/>
        <v>0</v>
      </c>
    </row>
    <row r="83" spans="6:38">
      <c r="F83" s="175">
        <f t="shared" si="23"/>
        <v>0</v>
      </c>
      <c r="H83" s="175">
        <f t="shared" si="24"/>
        <v>0</v>
      </c>
      <c r="J83" s="175">
        <f t="shared" si="25"/>
        <v>0</v>
      </c>
      <c r="L83" s="175">
        <f t="shared" si="26"/>
        <v>0</v>
      </c>
      <c r="O83" s="175">
        <f t="shared" si="27"/>
        <v>0</v>
      </c>
      <c r="Q83" s="175">
        <f t="shared" si="28"/>
        <v>0</v>
      </c>
      <c r="S83" s="175">
        <f t="shared" si="29"/>
        <v>0</v>
      </c>
      <c r="U83" s="175">
        <f t="shared" si="30"/>
        <v>0</v>
      </c>
      <c r="X83" s="175">
        <f t="shared" si="31"/>
        <v>0</v>
      </c>
      <c r="Z83" s="175">
        <f t="shared" si="32"/>
        <v>0</v>
      </c>
      <c r="AB83" s="175">
        <f t="shared" si="33"/>
        <v>0</v>
      </c>
      <c r="AD83" s="25"/>
      <c r="AE83" s="175">
        <f t="shared" si="37"/>
        <v>0</v>
      </c>
      <c r="AF83" s="25"/>
      <c r="AG83" s="175">
        <f t="shared" si="34"/>
        <v>0</v>
      </c>
      <c r="AJ83" s="175">
        <f t="shared" si="35"/>
        <v>0</v>
      </c>
      <c r="AL83" s="175">
        <f t="shared" si="36"/>
        <v>0</v>
      </c>
    </row>
    <row r="84" spans="6:38">
      <c r="F84" s="175">
        <f t="shared" si="23"/>
        <v>0</v>
      </c>
      <c r="H84" s="175">
        <f t="shared" si="24"/>
        <v>0</v>
      </c>
      <c r="J84" s="175">
        <f t="shared" si="25"/>
        <v>0</v>
      </c>
      <c r="L84" s="175">
        <f t="shared" si="26"/>
        <v>0</v>
      </c>
      <c r="O84" s="175">
        <f t="shared" si="27"/>
        <v>0</v>
      </c>
      <c r="Q84" s="175">
        <f t="shared" si="28"/>
        <v>0</v>
      </c>
      <c r="S84" s="175">
        <f t="shared" si="29"/>
        <v>0</v>
      </c>
      <c r="U84" s="175">
        <f t="shared" si="30"/>
        <v>0</v>
      </c>
      <c r="X84" s="175">
        <f t="shared" si="31"/>
        <v>0</v>
      </c>
      <c r="Z84" s="175">
        <f t="shared" si="32"/>
        <v>0</v>
      </c>
      <c r="AB84" s="175">
        <f t="shared" si="33"/>
        <v>0</v>
      </c>
      <c r="AD84" s="25"/>
      <c r="AE84" s="175">
        <f t="shared" si="37"/>
        <v>0</v>
      </c>
      <c r="AF84" s="25"/>
      <c r="AG84" s="175">
        <f t="shared" si="34"/>
        <v>0</v>
      </c>
      <c r="AJ84" s="175">
        <f t="shared" si="35"/>
        <v>0</v>
      </c>
      <c r="AL84" s="175">
        <f t="shared" si="36"/>
        <v>0</v>
      </c>
    </row>
    <row r="85" spans="6:38">
      <c r="F85" s="175">
        <f t="shared" si="23"/>
        <v>0</v>
      </c>
      <c r="H85" s="175">
        <f t="shared" si="24"/>
        <v>0</v>
      </c>
      <c r="J85" s="175">
        <f t="shared" si="25"/>
        <v>0</v>
      </c>
      <c r="L85" s="175">
        <f t="shared" si="26"/>
        <v>0</v>
      </c>
      <c r="O85" s="175">
        <f t="shared" si="27"/>
        <v>0</v>
      </c>
      <c r="Q85" s="175">
        <f t="shared" si="28"/>
        <v>0</v>
      </c>
      <c r="S85" s="175">
        <f t="shared" si="29"/>
        <v>0</v>
      </c>
      <c r="U85" s="175">
        <f t="shared" si="30"/>
        <v>0</v>
      </c>
      <c r="X85" s="175">
        <f t="shared" si="31"/>
        <v>0</v>
      </c>
      <c r="Z85" s="175">
        <f t="shared" si="32"/>
        <v>0</v>
      </c>
      <c r="AB85" s="175">
        <f t="shared" si="33"/>
        <v>0</v>
      </c>
      <c r="AD85" s="25"/>
      <c r="AE85" s="175">
        <f t="shared" si="37"/>
        <v>0</v>
      </c>
      <c r="AF85" s="25"/>
      <c r="AG85" s="175">
        <f t="shared" si="34"/>
        <v>0</v>
      </c>
      <c r="AJ85" s="175">
        <f t="shared" si="35"/>
        <v>0</v>
      </c>
      <c r="AL85" s="175">
        <f t="shared" si="36"/>
        <v>0</v>
      </c>
    </row>
    <row r="86" spans="6:38">
      <c r="F86" s="175">
        <f t="shared" si="23"/>
        <v>0</v>
      </c>
      <c r="H86" s="175">
        <f t="shared" si="24"/>
        <v>0</v>
      </c>
      <c r="J86" s="175">
        <f t="shared" si="25"/>
        <v>0</v>
      </c>
      <c r="L86" s="175">
        <f t="shared" si="26"/>
        <v>0</v>
      </c>
      <c r="O86" s="175">
        <f t="shared" si="27"/>
        <v>0</v>
      </c>
      <c r="Q86" s="175">
        <f t="shared" si="28"/>
        <v>0</v>
      </c>
      <c r="S86" s="175">
        <f t="shared" si="29"/>
        <v>0</v>
      </c>
      <c r="U86" s="175">
        <f t="shared" si="30"/>
        <v>0</v>
      </c>
      <c r="X86" s="175">
        <f t="shared" si="31"/>
        <v>0</v>
      </c>
      <c r="Z86" s="175">
        <f t="shared" si="32"/>
        <v>0</v>
      </c>
      <c r="AB86" s="175">
        <f t="shared" si="33"/>
        <v>0</v>
      </c>
      <c r="AD86" s="25"/>
      <c r="AE86" s="175">
        <f t="shared" si="37"/>
        <v>0</v>
      </c>
      <c r="AF86" s="25"/>
      <c r="AG86" s="175">
        <f t="shared" si="34"/>
        <v>0</v>
      </c>
      <c r="AJ86" s="175">
        <f t="shared" si="35"/>
        <v>0</v>
      </c>
      <c r="AL86" s="175">
        <f t="shared" si="36"/>
        <v>0</v>
      </c>
    </row>
    <row r="87" spans="6:38">
      <c r="F87" s="175">
        <f t="shared" si="23"/>
        <v>0</v>
      </c>
      <c r="H87" s="175">
        <f t="shared" si="24"/>
        <v>0</v>
      </c>
      <c r="J87" s="175">
        <f t="shared" si="25"/>
        <v>0</v>
      </c>
      <c r="L87" s="175">
        <f t="shared" si="26"/>
        <v>0</v>
      </c>
      <c r="O87" s="175">
        <f t="shared" si="27"/>
        <v>0</v>
      </c>
      <c r="Q87" s="175">
        <f t="shared" si="28"/>
        <v>0</v>
      </c>
      <c r="S87" s="175">
        <f t="shared" si="29"/>
        <v>0</v>
      </c>
      <c r="U87" s="175">
        <f t="shared" si="30"/>
        <v>0</v>
      </c>
      <c r="X87" s="175">
        <f t="shared" si="31"/>
        <v>0</v>
      </c>
      <c r="Z87" s="175">
        <f t="shared" si="32"/>
        <v>0</v>
      </c>
      <c r="AB87" s="175">
        <f t="shared" si="33"/>
        <v>0</v>
      </c>
      <c r="AD87" s="25"/>
      <c r="AE87" s="175">
        <f t="shared" si="37"/>
        <v>0</v>
      </c>
      <c r="AF87" s="25"/>
      <c r="AG87" s="175">
        <f t="shared" si="34"/>
        <v>0</v>
      </c>
      <c r="AJ87" s="175">
        <f t="shared" si="35"/>
        <v>0</v>
      </c>
      <c r="AL87" s="175">
        <f t="shared" si="36"/>
        <v>0</v>
      </c>
    </row>
    <row r="88" spans="6:38">
      <c r="F88" s="175">
        <f t="shared" si="23"/>
        <v>0</v>
      </c>
      <c r="H88" s="175">
        <f t="shared" si="24"/>
        <v>0</v>
      </c>
      <c r="J88" s="175">
        <f t="shared" si="25"/>
        <v>0</v>
      </c>
      <c r="L88" s="175">
        <f t="shared" si="26"/>
        <v>0</v>
      </c>
      <c r="O88" s="175">
        <f t="shared" si="27"/>
        <v>0</v>
      </c>
      <c r="Q88" s="175">
        <f t="shared" si="28"/>
        <v>0</v>
      </c>
      <c r="S88" s="175">
        <f t="shared" si="29"/>
        <v>0</v>
      </c>
      <c r="U88" s="175">
        <f t="shared" si="30"/>
        <v>0</v>
      </c>
      <c r="X88" s="175">
        <f t="shared" si="31"/>
        <v>0</v>
      </c>
      <c r="Z88" s="175">
        <f t="shared" si="32"/>
        <v>0</v>
      </c>
      <c r="AB88" s="175">
        <f t="shared" si="33"/>
        <v>0</v>
      </c>
      <c r="AD88" s="25"/>
      <c r="AE88" s="175">
        <f t="shared" si="37"/>
        <v>0</v>
      </c>
      <c r="AF88" s="25"/>
      <c r="AG88" s="175">
        <f t="shared" si="34"/>
        <v>0</v>
      </c>
      <c r="AJ88" s="175">
        <f t="shared" si="35"/>
        <v>0</v>
      </c>
      <c r="AL88" s="175">
        <f t="shared" si="36"/>
        <v>0</v>
      </c>
    </row>
    <row r="89" spans="6:38">
      <c r="F89" s="175">
        <f t="shared" si="23"/>
        <v>0</v>
      </c>
      <c r="H89" s="175">
        <f t="shared" si="24"/>
        <v>0</v>
      </c>
      <c r="J89" s="175">
        <f t="shared" si="25"/>
        <v>0</v>
      </c>
      <c r="L89" s="175">
        <f t="shared" si="26"/>
        <v>0</v>
      </c>
      <c r="O89" s="175">
        <f t="shared" si="27"/>
        <v>0</v>
      </c>
      <c r="Q89" s="175">
        <f t="shared" si="28"/>
        <v>0</v>
      </c>
      <c r="S89" s="175">
        <f t="shared" si="29"/>
        <v>0</v>
      </c>
      <c r="U89" s="175">
        <f t="shared" si="30"/>
        <v>0</v>
      </c>
      <c r="X89" s="175">
        <f t="shared" si="31"/>
        <v>0</v>
      </c>
      <c r="Z89" s="175">
        <f t="shared" si="32"/>
        <v>0</v>
      </c>
      <c r="AB89" s="175">
        <f t="shared" si="33"/>
        <v>0</v>
      </c>
      <c r="AD89" s="25"/>
      <c r="AE89" s="175">
        <f t="shared" si="37"/>
        <v>0</v>
      </c>
      <c r="AF89" s="25"/>
      <c r="AG89" s="175">
        <f t="shared" si="34"/>
        <v>0</v>
      </c>
      <c r="AJ89" s="175">
        <f t="shared" si="35"/>
        <v>0</v>
      </c>
      <c r="AL89" s="175">
        <f t="shared" si="36"/>
        <v>0</v>
      </c>
    </row>
    <row r="90" spans="6:38">
      <c r="F90" s="175">
        <f t="shared" si="23"/>
        <v>0</v>
      </c>
      <c r="H90" s="175">
        <f t="shared" si="24"/>
        <v>0</v>
      </c>
      <c r="J90" s="175">
        <f t="shared" si="25"/>
        <v>0</v>
      </c>
      <c r="L90" s="175">
        <f t="shared" si="26"/>
        <v>0</v>
      </c>
      <c r="O90" s="175">
        <f t="shared" si="27"/>
        <v>0</v>
      </c>
      <c r="Q90" s="175">
        <f t="shared" si="28"/>
        <v>0</v>
      </c>
      <c r="S90" s="175">
        <f t="shared" si="29"/>
        <v>0</v>
      </c>
      <c r="U90" s="175">
        <f t="shared" si="30"/>
        <v>0</v>
      </c>
      <c r="X90" s="175">
        <f t="shared" si="31"/>
        <v>0</v>
      </c>
      <c r="Z90" s="175">
        <f t="shared" si="32"/>
        <v>0</v>
      </c>
      <c r="AB90" s="175">
        <f t="shared" si="33"/>
        <v>0</v>
      </c>
      <c r="AD90" s="25"/>
      <c r="AE90" s="175">
        <f t="shared" si="37"/>
        <v>0</v>
      </c>
      <c r="AF90" s="25"/>
      <c r="AG90" s="175">
        <f t="shared" si="34"/>
        <v>0</v>
      </c>
      <c r="AJ90" s="175">
        <f t="shared" si="35"/>
        <v>0</v>
      </c>
      <c r="AL90" s="175">
        <f t="shared" si="36"/>
        <v>0</v>
      </c>
    </row>
    <row r="91" spans="6:38">
      <c r="F91" s="175">
        <f t="shared" si="23"/>
        <v>0</v>
      </c>
      <c r="H91" s="175">
        <f t="shared" si="24"/>
        <v>0</v>
      </c>
      <c r="J91" s="175">
        <f t="shared" si="25"/>
        <v>0</v>
      </c>
      <c r="L91" s="175">
        <f t="shared" si="26"/>
        <v>0</v>
      </c>
      <c r="O91" s="175">
        <f t="shared" si="27"/>
        <v>0</v>
      </c>
      <c r="Q91" s="175">
        <f t="shared" si="28"/>
        <v>0</v>
      </c>
      <c r="S91" s="175">
        <f t="shared" si="29"/>
        <v>0</v>
      </c>
      <c r="U91" s="175">
        <f t="shared" si="30"/>
        <v>0</v>
      </c>
      <c r="X91" s="175">
        <f t="shared" si="31"/>
        <v>0</v>
      </c>
      <c r="Z91" s="175">
        <f t="shared" si="32"/>
        <v>0</v>
      </c>
      <c r="AB91" s="175">
        <f t="shared" si="33"/>
        <v>0</v>
      </c>
      <c r="AD91" s="25"/>
      <c r="AE91" s="175">
        <f t="shared" si="37"/>
        <v>0</v>
      </c>
      <c r="AF91" s="25"/>
      <c r="AG91" s="175">
        <f t="shared" si="34"/>
        <v>0</v>
      </c>
      <c r="AJ91" s="175">
        <f t="shared" si="35"/>
        <v>0</v>
      </c>
      <c r="AL91" s="175">
        <f t="shared" si="36"/>
        <v>0</v>
      </c>
    </row>
    <row r="92" spans="6:38">
      <c r="F92" s="175">
        <f t="shared" si="23"/>
        <v>0</v>
      </c>
      <c r="H92" s="175">
        <f t="shared" si="24"/>
        <v>0</v>
      </c>
      <c r="J92" s="175">
        <f t="shared" si="25"/>
        <v>0</v>
      </c>
      <c r="L92" s="175">
        <f t="shared" si="26"/>
        <v>0</v>
      </c>
      <c r="O92" s="175">
        <f t="shared" si="27"/>
        <v>0</v>
      </c>
      <c r="Q92" s="175">
        <f t="shared" si="28"/>
        <v>0</v>
      </c>
      <c r="S92" s="175">
        <f t="shared" si="29"/>
        <v>0</v>
      </c>
      <c r="U92" s="175">
        <f t="shared" si="30"/>
        <v>0</v>
      </c>
      <c r="X92" s="175">
        <f t="shared" si="31"/>
        <v>0</v>
      </c>
      <c r="Z92" s="175">
        <f t="shared" si="32"/>
        <v>0</v>
      </c>
      <c r="AB92" s="175">
        <f t="shared" si="33"/>
        <v>0</v>
      </c>
      <c r="AD92" s="25"/>
      <c r="AE92" s="175">
        <f t="shared" si="37"/>
        <v>0</v>
      </c>
      <c r="AF92" s="25"/>
      <c r="AG92" s="175">
        <f t="shared" si="34"/>
        <v>0</v>
      </c>
      <c r="AJ92" s="175">
        <f t="shared" si="35"/>
        <v>0</v>
      </c>
      <c r="AL92" s="175">
        <f t="shared" si="36"/>
        <v>0</v>
      </c>
    </row>
    <row r="93" spans="6:38">
      <c r="F93" s="175">
        <f t="shared" si="23"/>
        <v>0</v>
      </c>
      <c r="H93" s="175">
        <f t="shared" si="24"/>
        <v>0</v>
      </c>
      <c r="J93" s="175">
        <f t="shared" si="25"/>
        <v>0</v>
      </c>
      <c r="L93" s="175">
        <f t="shared" si="26"/>
        <v>0</v>
      </c>
      <c r="O93" s="175">
        <f t="shared" si="27"/>
        <v>0</v>
      </c>
      <c r="Q93" s="175">
        <f t="shared" si="28"/>
        <v>0</v>
      </c>
      <c r="S93" s="175">
        <f t="shared" si="29"/>
        <v>0</v>
      </c>
      <c r="U93" s="175">
        <f t="shared" si="30"/>
        <v>0</v>
      </c>
      <c r="X93" s="175">
        <f t="shared" si="31"/>
        <v>0</v>
      </c>
      <c r="Z93" s="175">
        <f t="shared" si="32"/>
        <v>0</v>
      </c>
      <c r="AB93" s="175">
        <f t="shared" si="33"/>
        <v>0</v>
      </c>
      <c r="AD93" s="25"/>
      <c r="AE93" s="175">
        <f t="shared" si="37"/>
        <v>0</v>
      </c>
      <c r="AF93" s="25"/>
      <c r="AG93" s="175">
        <f t="shared" si="34"/>
        <v>0</v>
      </c>
      <c r="AJ93" s="175">
        <f t="shared" si="35"/>
        <v>0</v>
      </c>
      <c r="AL93" s="175">
        <f t="shared" si="36"/>
        <v>0</v>
      </c>
    </row>
    <row r="94" spans="6:38">
      <c r="F94" s="175">
        <f t="shared" si="23"/>
        <v>0</v>
      </c>
      <c r="H94" s="175">
        <f t="shared" si="24"/>
        <v>0</v>
      </c>
      <c r="J94" s="175">
        <f t="shared" si="25"/>
        <v>0</v>
      </c>
      <c r="L94" s="175">
        <f t="shared" si="26"/>
        <v>0</v>
      </c>
      <c r="O94" s="175">
        <f t="shared" si="27"/>
        <v>0</v>
      </c>
      <c r="Q94" s="175">
        <f t="shared" si="28"/>
        <v>0</v>
      </c>
      <c r="S94" s="175">
        <f t="shared" si="29"/>
        <v>0</v>
      </c>
      <c r="U94" s="175">
        <f t="shared" si="30"/>
        <v>0</v>
      </c>
      <c r="X94" s="175">
        <f t="shared" si="31"/>
        <v>0</v>
      </c>
      <c r="Z94" s="175">
        <f t="shared" si="32"/>
        <v>0</v>
      </c>
      <c r="AB94" s="175">
        <f t="shared" si="33"/>
        <v>0</v>
      </c>
      <c r="AD94" s="25"/>
      <c r="AE94" s="175">
        <f t="shared" si="37"/>
        <v>0</v>
      </c>
      <c r="AF94" s="25"/>
      <c r="AG94" s="175">
        <f t="shared" si="34"/>
        <v>0</v>
      </c>
      <c r="AJ94" s="175">
        <f t="shared" si="35"/>
        <v>0</v>
      </c>
      <c r="AL94" s="175">
        <f t="shared" si="36"/>
        <v>0</v>
      </c>
    </row>
    <row r="95" spans="6:38">
      <c r="F95" s="175">
        <f t="shared" si="23"/>
        <v>0</v>
      </c>
      <c r="H95" s="175">
        <f t="shared" si="24"/>
        <v>0</v>
      </c>
      <c r="J95" s="175">
        <f t="shared" si="25"/>
        <v>0</v>
      </c>
      <c r="L95" s="175">
        <f t="shared" si="26"/>
        <v>0</v>
      </c>
      <c r="O95" s="175">
        <f t="shared" si="27"/>
        <v>0</v>
      </c>
      <c r="Q95" s="175">
        <f t="shared" si="28"/>
        <v>0</v>
      </c>
      <c r="S95" s="175">
        <f t="shared" si="29"/>
        <v>0</v>
      </c>
      <c r="U95" s="175">
        <f t="shared" si="30"/>
        <v>0</v>
      </c>
      <c r="X95" s="175">
        <f t="shared" si="31"/>
        <v>0</v>
      </c>
      <c r="Z95" s="175">
        <f t="shared" si="32"/>
        <v>0</v>
      </c>
      <c r="AB95" s="175">
        <f t="shared" si="33"/>
        <v>0</v>
      </c>
      <c r="AD95" s="25"/>
      <c r="AE95" s="175">
        <f t="shared" si="37"/>
        <v>0</v>
      </c>
      <c r="AF95" s="25"/>
      <c r="AG95" s="175">
        <f t="shared" si="34"/>
        <v>0</v>
      </c>
      <c r="AJ95" s="175">
        <f t="shared" si="35"/>
        <v>0</v>
      </c>
      <c r="AL95" s="175">
        <f t="shared" si="36"/>
        <v>0</v>
      </c>
    </row>
    <row r="96" spans="6:38">
      <c r="F96" s="175">
        <f t="shared" si="23"/>
        <v>0</v>
      </c>
      <c r="H96" s="175">
        <f t="shared" si="24"/>
        <v>0</v>
      </c>
      <c r="J96" s="175">
        <f t="shared" si="25"/>
        <v>0</v>
      </c>
      <c r="L96" s="175">
        <f t="shared" si="26"/>
        <v>0</v>
      </c>
      <c r="O96" s="175">
        <f t="shared" si="27"/>
        <v>0</v>
      </c>
      <c r="Q96" s="175">
        <f t="shared" si="28"/>
        <v>0</v>
      </c>
      <c r="S96" s="175">
        <f t="shared" si="29"/>
        <v>0</v>
      </c>
      <c r="U96" s="175">
        <f t="shared" si="30"/>
        <v>0</v>
      </c>
      <c r="X96" s="175">
        <f t="shared" si="31"/>
        <v>0</v>
      </c>
      <c r="Z96" s="175">
        <f t="shared" si="32"/>
        <v>0</v>
      </c>
      <c r="AB96" s="175">
        <f t="shared" si="33"/>
        <v>0</v>
      </c>
      <c r="AD96" s="25"/>
      <c r="AE96" s="175">
        <f t="shared" si="37"/>
        <v>0</v>
      </c>
      <c r="AF96" s="25"/>
      <c r="AG96" s="175">
        <f t="shared" si="34"/>
        <v>0</v>
      </c>
      <c r="AJ96" s="175">
        <f t="shared" si="35"/>
        <v>0</v>
      </c>
      <c r="AL96" s="175">
        <f t="shared" si="36"/>
        <v>0</v>
      </c>
    </row>
    <row r="97" spans="6:38">
      <c r="F97" s="175">
        <f t="shared" si="23"/>
        <v>0</v>
      </c>
      <c r="H97" s="175">
        <f t="shared" si="24"/>
        <v>0</v>
      </c>
      <c r="J97" s="175">
        <f t="shared" si="25"/>
        <v>0</v>
      </c>
      <c r="L97" s="175">
        <f t="shared" si="26"/>
        <v>0</v>
      </c>
      <c r="O97" s="175">
        <f t="shared" si="27"/>
        <v>0</v>
      </c>
      <c r="Q97" s="175">
        <f t="shared" si="28"/>
        <v>0</v>
      </c>
      <c r="S97" s="175">
        <f t="shared" si="29"/>
        <v>0</v>
      </c>
      <c r="U97" s="175">
        <f t="shared" si="30"/>
        <v>0</v>
      </c>
      <c r="X97" s="175">
        <f t="shared" si="31"/>
        <v>0</v>
      </c>
      <c r="Z97" s="175">
        <f t="shared" si="32"/>
        <v>0</v>
      </c>
      <c r="AB97" s="175">
        <f t="shared" si="33"/>
        <v>0</v>
      </c>
      <c r="AD97" s="25"/>
      <c r="AE97" s="175">
        <f t="shared" si="37"/>
        <v>0</v>
      </c>
      <c r="AF97" s="25"/>
      <c r="AG97" s="175">
        <f t="shared" si="34"/>
        <v>0</v>
      </c>
      <c r="AJ97" s="175">
        <f t="shared" si="35"/>
        <v>0</v>
      </c>
      <c r="AL97" s="175">
        <f t="shared" si="36"/>
        <v>0</v>
      </c>
    </row>
    <row r="98" spans="6:38">
      <c r="F98" s="175">
        <f t="shared" si="23"/>
        <v>0</v>
      </c>
      <c r="H98" s="175">
        <f t="shared" si="24"/>
        <v>0</v>
      </c>
      <c r="J98" s="175">
        <f t="shared" si="25"/>
        <v>0</v>
      </c>
      <c r="L98" s="175">
        <f t="shared" si="26"/>
        <v>0</v>
      </c>
      <c r="O98" s="175">
        <f t="shared" si="27"/>
        <v>0</v>
      </c>
      <c r="Q98" s="175">
        <f t="shared" si="28"/>
        <v>0</v>
      </c>
      <c r="S98" s="175">
        <f t="shared" si="29"/>
        <v>0</v>
      </c>
      <c r="U98" s="175">
        <f t="shared" si="30"/>
        <v>0</v>
      </c>
      <c r="X98" s="175">
        <f t="shared" si="31"/>
        <v>0</v>
      </c>
      <c r="Z98" s="175">
        <f t="shared" si="32"/>
        <v>0</v>
      </c>
      <c r="AB98" s="175">
        <f t="shared" si="33"/>
        <v>0</v>
      </c>
      <c r="AD98" s="25"/>
      <c r="AE98" s="175">
        <f t="shared" si="37"/>
        <v>0</v>
      </c>
      <c r="AF98" s="25"/>
      <c r="AG98" s="175">
        <f t="shared" si="34"/>
        <v>0</v>
      </c>
      <c r="AJ98" s="175">
        <f t="shared" si="35"/>
        <v>0</v>
      </c>
      <c r="AL98" s="175">
        <f t="shared" si="36"/>
        <v>0</v>
      </c>
    </row>
    <row r="99" spans="6:38">
      <c r="F99" s="175">
        <f t="shared" si="23"/>
        <v>0</v>
      </c>
      <c r="H99" s="175">
        <f t="shared" si="24"/>
        <v>0</v>
      </c>
      <c r="J99" s="175">
        <f t="shared" si="25"/>
        <v>0</v>
      </c>
      <c r="L99" s="175">
        <f t="shared" si="26"/>
        <v>0</v>
      </c>
      <c r="O99" s="175">
        <f t="shared" si="27"/>
        <v>0</v>
      </c>
      <c r="Q99" s="175">
        <f t="shared" si="28"/>
        <v>0</v>
      </c>
      <c r="S99" s="175">
        <f t="shared" si="29"/>
        <v>0</v>
      </c>
      <c r="U99" s="175">
        <f t="shared" si="30"/>
        <v>0</v>
      </c>
      <c r="X99" s="175">
        <f t="shared" si="31"/>
        <v>0</v>
      </c>
      <c r="Z99" s="175">
        <f t="shared" si="32"/>
        <v>0</v>
      </c>
      <c r="AB99" s="175">
        <f t="shared" si="33"/>
        <v>0</v>
      </c>
      <c r="AD99" s="25"/>
      <c r="AE99" s="175">
        <f t="shared" si="37"/>
        <v>0</v>
      </c>
      <c r="AF99" s="25"/>
      <c r="AG99" s="175">
        <f t="shared" si="34"/>
        <v>0</v>
      </c>
      <c r="AJ99" s="175">
        <f t="shared" si="35"/>
        <v>0</v>
      </c>
      <c r="AL99" s="175">
        <f t="shared" si="36"/>
        <v>0</v>
      </c>
    </row>
    <row r="100" spans="6:38">
      <c r="F100" s="175">
        <f t="shared" si="23"/>
        <v>0</v>
      </c>
      <c r="H100" s="175">
        <f t="shared" si="24"/>
        <v>0</v>
      </c>
      <c r="J100" s="175">
        <f t="shared" si="25"/>
        <v>0</v>
      </c>
      <c r="L100" s="175">
        <f t="shared" si="26"/>
        <v>0</v>
      </c>
      <c r="O100" s="175">
        <f t="shared" si="27"/>
        <v>0</v>
      </c>
      <c r="Q100" s="175">
        <f t="shared" si="28"/>
        <v>0</v>
      </c>
      <c r="S100" s="175">
        <f t="shared" si="29"/>
        <v>0</v>
      </c>
      <c r="U100" s="175">
        <f t="shared" si="30"/>
        <v>0</v>
      </c>
      <c r="X100" s="175">
        <f t="shared" si="31"/>
        <v>0</v>
      </c>
      <c r="Z100" s="175">
        <f t="shared" si="32"/>
        <v>0</v>
      </c>
      <c r="AB100" s="175">
        <f t="shared" si="33"/>
        <v>0</v>
      </c>
      <c r="AD100" s="25"/>
      <c r="AE100" s="175">
        <f t="shared" si="37"/>
        <v>0</v>
      </c>
      <c r="AF100" s="25"/>
      <c r="AG100" s="175">
        <f t="shared" si="34"/>
        <v>0</v>
      </c>
      <c r="AJ100" s="175">
        <f t="shared" si="35"/>
        <v>0</v>
      </c>
      <c r="AL100" s="175">
        <f t="shared" si="36"/>
        <v>0</v>
      </c>
    </row>
    <row r="101" spans="6:38">
      <c r="F101" s="175">
        <f t="shared" si="23"/>
        <v>0</v>
      </c>
      <c r="H101" s="175">
        <f t="shared" si="24"/>
        <v>0</v>
      </c>
      <c r="J101" s="175">
        <f t="shared" si="25"/>
        <v>0</v>
      </c>
      <c r="L101" s="175">
        <f t="shared" si="26"/>
        <v>0</v>
      </c>
      <c r="O101" s="175">
        <f t="shared" si="27"/>
        <v>0</v>
      </c>
      <c r="Q101" s="175">
        <f t="shared" si="28"/>
        <v>0</v>
      </c>
      <c r="S101" s="175">
        <f t="shared" si="29"/>
        <v>0</v>
      </c>
      <c r="U101" s="175">
        <f t="shared" si="30"/>
        <v>0</v>
      </c>
      <c r="X101" s="175">
        <f t="shared" si="31"/>
        <v>0</v>
      </c>
      <c r="Z101" s="175">
        <f t="shared" si="32"/>
        <v>0</v>
      </c>
      <c r="AB101" s="175">
        <f t="shared" si="33"/>
        <v>0</v>
      </c>
      <c r="AD101" s="25"/>
      <c r="AE101" s="175">
        <f t="shared" si="37"/>
        <v>0</v>
      </c>
      <c r="AF101" s="25"/>
      <c r="AG101" s="175">
        <f t="shared" si="34"/>
        <v>0</v>
      </c>
      <c r="AJ101" s="175">
        <f t="shared" si="35"/>
        <v>0</v>
      </c>
      <c r="AL101" s="175">
        <f t="shared" si="36"/>
        <v>0</v>
      </c>
    </row>
    <row r="102" spans="6:38">
      <c r="F102" s="175">
        <f t="shared" si="23"/>
        <v>0</v>
      </c>
      <c r="H102" s="175">
        <f t="shared" si="24"/>
        <v>0</v>
      </c>
      <c r="J102" s="175">
        <f t="shared" si="25"/>
        <v>0</v>
      </c>
      <c r="L102" s="175">
        <f t="shared" si="26"/>
        <v>0</v>
      </c>
      <c r="O102" s="175">
        <f t="shared" si="27"/>
        <v>0</v>
      </c>
      <c r="Q102" s="175">
        <f t="shared" si="28"/>
        <v>0</v>
      </c>
      <c r="S102" s="175">
        <f t="shared" si="29"/>
        <v>0</v>
      </c>
      <c r="U102" s="175">
        <f t="shared" si="30"/>
        <v>0</v>
      </c>
      <c r="X102" s="175">
        <f t="shared" si="31"/>
        <v>0</v>
      </c>
      <c r="Z102" s="175">
        <f t="shared" si="32"/>
        <v>0</v>
      </c>
      <c r="AB102" s="175">
        <f t="shared" si="33"/>
        <v>0</v>
      </c>
      <c r="AD102" s="25"/>
      <c r="AE102" s="175">
        <f t="shared" si="37"/>
        <v>0</v>
      </c>
      <c r="AF102" s="25"/>
      <c r="AG102" s="175">
        <f t="shared" si="34"/>
        <v>0</v>
      </c>
      <c r="AJ102" s="175">
        <f t="shared" si="35"/>
        <v>0</v>
      </c>
      <c r="AL102" s="175">
        <f t="shared" si="36"/>
        <v>0</v>
      </c>
    </row>
    <row r="103" spans="6:38">
      <c r="F103" s="175">
        <f t="shared" si="23"/>
        <v>0</v>
      </c>
      <c r="H103" s="175">
        <f t="shared" si="24"/>
        <v>0</v>
      </c>
      <c r="J103" s="175">
        <f t="shared" si="25"/>
        <v>0</v>
      </c>
      <c r="L103" s="175">
        <f t="shared" si="26"/>
        <v>0</v>
      </c>
      <c r="O103" s="175">
        <f t="shared" si="27"/>
        <v>0</v>
      </c>
      <c r="Q103" s="175">
        <f t="shared" si="28"/>
        <v>0</v>
      </c>
      <c r="S103" s="175">
        <f t="shared" si="29"/>
        <v>0</v>
      </c>
      <c r="U103" s="175">
        <f t="shared" si="30"/>
        <v>0</v>
      </c>
      <c r="X103" s="175">
        <f t="shared" si="31"/>
        <v>0</v>
      </c>
      <c r="Z103" s="175">
        <f t="shared" si="32"/>
        <v>0</v>
      </c>
      <c r="AB103" s="175">
        <f t="shared" si="33"/>
        <v>0</v>
      </c>
      <c r="AD103" s="25"/>
      <c r="AE103" s="175">
        <f t="shared" si="37"/>
        <v>0</v>
      </c>
      <c r="AF103" s="25"/>
      <c r="AG103" s="175">
        <f t="shared" si="34"/>
        <v>0</v>
      </c>
      <c r="AJ103" s="175">
        <f t="shared" si="35"/>
        <v>0</v>
      </c>
      <c r="AL103" s="175">
        <f t="shared" si="36"/>
        <v>0</v>
      </c>
    </row>
    <row r="104" spans="6:38">
      <c r="F104" s="175">
        <f t="shared" si="23"/>
        <v>0</v>
      </c>
      <c r="H104" s="175">
        <f t="shared" si="24"/>
        <v>0</v>
      </c>
      <c r="J104" s="175">
        <f t="shared" si="25"/>
        <v>0</v>
      </c>
      <c r="L104" s="175">
        <f t="shared" si="26"/>
        <v>0</v>
      </c>
      <c r="O104" s="175">
        <f t="shared" si="27"/>
        <v>0</v>
      </c>
      <c r="Q104" s="175">
        <f t="shared" si="28"/>
        <v>0</v>
      </c>
      <c r="S104" s="175">
        <f t="shared" si="29"/>
        <v>0</v>
      </c>
      <c r="U104" s="175">
        <f t="shared" si="30"/>
        <v>0</v>
      </c>
      <c r="X104" s="175">
        <f t="shared" si="31"/>
        <v>0</v>
      </c>
      <c r="Z104" s="175">
        <f t="shared" si="32"/>
        <v>0</v>
      </c>
      <c r="AB104" s="175">
        <f t="shared" si="33"/>
        <v>0</v>
      </c>
      <c r="AD104" s="25"/>
      <c r="AE104" s="175">
        <f t="shared" si="37"/>
        <v>0</v>
      </c>
      <c r="AF104" s="25"/>
      <c r="AG104" s="175">
        <f t="shared" si="34"/>
        <v>0</v>
      </c>
      <c r="AJ104" s="175">
        <f t="shared" si="35"/>
        <v>0</v>
      </c>
      <c r="AL104" s="175">
        <f t="shared" si="36"/>
        <v>0</v>
      </c>
    </row>
    <row r="105" spans="6:38">
      <c r="F105" s="175">
        <f t="shared" si="23"/>
        <v>0</v>
      </c>
      <c r="H105" s="175">
        <f t="shared" si="24"/>
        <v>0</v>
      </c>
      <c r="J105" s="175">
        <f t="shared" si="25"/>
        <v>0</v>
      </c>
      <c r="L105" s="175">
        <f t="shared" si="26"/>
        <v>0</v>
      </c>
      <c r="O105" s="175">
        <f t="shared" si="27"/>
        <v>0</v>
      </c>
      <c r="Q105" s="175">
        <f t="shared" si="28"/>
        <v>0</v>
      </c>
      <c r="S105" s="175">
        <f t="shared" si="29"/>
        <v>0</v>
      </c>
      <c r="U105" s="175">
        <f t="shared" si="30"/>
        <v>0</v>
      </c>
      <c r="X105" s="175">
        <f t="shared" si="31"/>
        <v>0</v>
      </c>
      <c r="Z105" s="175">
        <f t="shared" si="32"/>
        <v>0</v>
      </c>
      <c r="AB105" s="175">
        <f t="shared" si="33"/>
        <v>0</v>
      </c>
      <c r="AD105" s="25"/>
      <c r="AE105" s="175">
        <f t="shared" si="37"/>
        <v>0</v>
      </c>
      <c r="AF105" s="25"/>
      <c r="AG105" s="175">
        <f t="shared" si="34"/>
        <v>0</v>
      </c>
      <c r="AJ105" s="175">
        <f t="shared" si="35"/>
        <v>0</v>
      </c>
      <c r="AL105" s="175">
        <f t="shared" si="36"/>
        <v>0</v>
      </c>
    </row>
    <row r="106" spans="6:38">
      <c r="F106" s="175">
        <f t="shared" si="23"/>
        <v>0</v>
      </c>
      <c r="H106" s="175">
        <f t="shared" si="24"/>
        <v>0</v>
      </c>
      <c r="J106" s="175">
        <f t="shared" si="25"/>
        <v>0</v>
      </c>
      <c r="L106" s="175">
        <f t="shared" si="26"/>
        <v>0</v>
      </c>
      <c r="O106" s="175">
        <f t="shared" si="27"/>
        <v>0</v>
      </c>
      <c r="Q106" s="175">
        <f t="shared" si="28"/>
        <v>0</v>
      </c>
      <c r="S106" s="175">
        <f t="shared" si="29"/>
        <v>0</v>
      </c>
      <c r="U106" s="175">
        <f t="shared" si="30"/>
        <v>0</v>
      </c>
      <c r="X106" s="175">
        <f t="shared" si="31"/>
        <v>0</v>
      </c>
      <c r="Z106" s="175">
        <f t="shared" si="32"/>
        <v>0</v>
      </c>
      <c r="AB106" s="175">
        <f t="shared" si="33"/>
        <v>0</v>
      </c>
      <c r="AD106" s="25"/>
      <c r="AE106" s="175">
        <f t="shared" si="37"/>
        <v>0</v>
      </c>
      <c r="AF106" s="25"/>
      <c r="AG106" s="175">
        <f t="shared" si="34"/>
        <v>0</v>
      </c>
      <c r="AJ106" s="175">
        <f t="shared" si="35"/>
        <v>0</v>
      </c>
      <c r="AL106" s="175">
        <f t="shared" si="36"/>
        <v>0</v>
      </c>
    </row>
    <row r="107" spans="6:38">
      <c r="F107" s="175">
        <f t="shared" si="23"/>
        <v>0</v>
      </c>
      <c r="H107" s="175">
        <f t="shared" si="24"/>
        <v>0</v>
      </c>
      <c r="J107" s="175">
        <f t="shared" si="25"/>
        <v>0</v>
      </c>
      <c r="L107" s="175">
        <f t="shared" si="26"/>
        <v>0</v>
      </c>
      <c r="O107" s="175">
        <f t="shared" si="27"/>
        <v>0</v>
      </c>
      <c r="Q107" s="175">
        <f t="shared" si="28"/>
        <v>0</v>
      </c>
      <c r="S107" s="175">
        <f t="shared" si="29"/>
        <v>0</v>
      </c>
      <c r="U107" s="175">
        <f t="shared" si="30"/>
        <v>0</v>
      </c>
      <c r="X107" s="175">
        <f t="shared" si="31"/>
        <v>0</v>
      </c>
      <c r="Z107" s="175">
        <f t="shared" si="32"/>
        <v>0</v>
      </c>
      <c r="AB107" s="175">
        <f t="shared" si="33"/>
        <v>0</v>
      </c>
      <c r="AD107" s="25"/>
      <c r="AE107" s="175">
        <f t="shared" si="37"/>
        <v>0</v>
      </c>
      <c r="AF107" s="25"/>
      <c r="AG107" s="175">
        <f t="shared" si="34"/>
        <v>0</v>
      </c>
      <c r="AJ107" s="175">
        <f t="shared" si="35"/>
        <v>0</v>
      </c>
      <c r="AL107" s="175">
        <f t="shared" si="36"/>
        <v>0</v>
      </c>
    </row>
    <row r="108" spans="6:38">
      <c r="F108" s="175">
        <f t="shared" si="23"/>
        <v>0</v>
      </c>
      <c r="H108" s="175">
        <f t="shared" si="24"/>
        <v>0</v>
      </c>
      <c r="J108" s="175">
        <f t="shared" si="25"/>
        <v>0</v>
      </c>
      <c r="L108" s="175">
        <f t="shared" si="26"/>
        <v>0</v>
      </c>
      <c r="O108" s="175">
        <f t="shared" si="27"/>
        <v>0</v>
      </c>
      <c r="Q108" s="175">
        <f t="shared" si="28"/>
        <v>0</v>
      </c>
      <c r="S108" s="175">
        <f t="shared" si="29"/>
        <v>0</v>
      </c>
      <c r="U108" s="175">
        <f t="shared" si="30"/>
        <v>0</v>
      </c>
      <c r="X108" s="175">
        <f t="shared" si="31"/>
        <v>0</v>
      </c>
      <c r="Z108" s="175">
        <f t="shared" si="32"/>
        <v>0</v>
      </c>
      <c r="AB108" s="175">
        <f t="shared" si="33"/>
        <v>0</v>
      </c>
      <c r="AD108" s="25"/>
      <c r="AE108" s="175">
        <f t="shared" si="37"/>
        <v>0</v>
      </c>
      <c r="AF108" s="25"/>
      <c r="AG108" s="175">
        <f t="shared" si="34"/>
        <v>0</v>
      </c>
      <c r="AJ108" s="175">
        <f t="shared" si="35"/>
        <v>0</v>
      </c>
      <c r="AL108" s="175">
        <f t="shared" si="36"/>
        <v>0</v>
      </c>
    </row>
    <row r="109" spans="6:38">
      <c r="F109" s="175">
        <f t="shared" si="23"/>
        <v>0</v>
      </c>
      <c r="H109" s="175">
        <f t="shared" si="24"/>
        <v>0</v>
      </c>
      <c r="J109" s="175">
        <f t="shared" si="25"/>
        <v>0</v>
      </c>
      <c r="L109" s="175">
        <f t="shared" si="26"/>
        <v>0</v>
      </c>
      <c r="O109" s="175">
        <f t="shared" si="27"/>
        <v>0</v>
      </c>
      <c r="Q109" s="175">
        <f t="shared" si="28"/>
        <v>0</v>
      </c>
      <c r="S109" s="175">
        <f t="shared" si="29"/>
        <v>0</v>
      </c>
      <c r="U109" s="175">
        <f t="shared" si="30"/>
        <v>0</v>
      </c>
      <c r="X109" s="175">
        <f t="shared" si="31"/>
        <v>0</v>
      </c>
      <c r="Z109" s="175">
        <f t="shared" si="32"/>
        <v>0</v>
      </c>
      <c r="AB109" s="175">
        <f t="shared" si="33"/>
        <v>0</v>
      </c>
      <c r="AD109" s="25"/>
      <c r="AE109" s="175">
        <f t="shared" si="37"/>
        <v>0</v>
      </c>
      <c r="AF109" s="25"/>
      <c r="AG109" s="175">
        <f t="shared" si="34"/>
        <v>0</v>
      </c>
      <c r="AJ109" s="175">
        <f t="shared" si="35"/>
        <v>0</v>
      </c>
      <c r="AL109" s="175">
        <f t="shared" si="36"/>
        <v>0</v>
      </c>
    </row>
    <row r="110" spans="6:38">
      <c r="F110" s="175">
        <f t="shared" si="23"/>
        <v>0</v>
      </c>
      <c r="H110" s="175">
        <f t="shared" si="24"/>
        <v>0</v>
      </c>
      <c r="J110" s="175">
        <f t="shared" si="25"/>
        <v>0</v>
      </c>
      <c r="L110" s="175">
        <f t="shared" si="26"/>
        <v>0</v>
      </c>
      <c r="O110" s="175">
        <f t="shared" si="27"/>
        <v>0</v>
      </c>
      <c r="Q110" s="175">
        <f t="shared" si="28"/>
        <v>0</v>
      </c>
      <c r="S110" s="175">
        <f t="shared" si="29"/>
        <v>0</v>
      </c>
      <c r="U110" s="175">
        <f t="shared" si="30"/>
        <v>0</v>
      </c>
      <c r="X110" s="175">
        <f t="shared" si="31"/>
        <v>0</v>
      </c>
      <c r="Z110" s="175">
        <f t="shared" si="32"/>
        <v>0</v>
      </c>
      <c r="AB110" s="175">
        <f t="shared" si="33"/>
        <v>0</v>
      </c>
      <c r="AD110" s="25"/>
      <c r="AE110" s="175">
        <f t="shared" si="37"/>
        <v>0</v>
      </c>
      <c r="AF110" s="25"/>
      <c r="AG110" s="175">
        <f t="shared" si="34"/>
        <v>0</v>
      </c>
      <c r="AJ110" s="175">
        <f t="shared" si="35"/>
        <v>0</v>
      </c>
      <c r="AL110" s="175">
        <f t="shared" si="36"/>
        <v>0</v>
      </c>
    </row>
    <row r="111" spans="6:38">
      <c r="F111" s="175">
        <f t="shared" si="23"/>
        <v>0</v>
      </c>
      <c r="H111" s="175">
        <f t="shared" si="24"/>
        <v>0</v>
      </c>
      <c r="J111" s="175">
        <f t="shared" si="25"/>
        <v>0</v>
      </c>
      <c r="L111" s="175">
        <f t="shared" si="26"/>
        <v>0</v>
      </c>
      <c r="O111" s="175">
        <f t="shared" si="27"/>
        <v>0</v>
      </c>
      <c r="Q111" s="175">
        <f t="shared" si="28"/>
        <v>0</v>
      </c>
      <c r="S111" s="175">
        <f t="shared" si="29"/>
        <v>0</v>
      </c>
      <c r="U111" s="175">
        <f t="shared" si="30"/>
        <v>0</v>
      </c>
      <c r="X111" s="175">
        <f t="shared" si="31"/>
        <v>0</v>
      </c>
      <c r="Z111" s="175">
        <f t="shared" si="32"/>
        <v>0</v>
      </c>
      <c r="AB111" s="175">
        <f t="shared" si="33"/>
        <v>0</v>
      </c>
      <c r="AD111" s="25"/>
      <c r="AE111" s="175">
        <f t="shared" si="37"/>
        <v>0</v>
      </c>
      <c r="AF111" s="25"/>
      <c r="AG111" s="175">
        <f t="shared" si="34"/>
        <v>0</v>
      </c>
      <c r="AJ111" s="175">
        <f t="shared" si="35"/>
        <v>0</v>
      </c>
      <c r="AL111" s="175">
        <f t="shared" si="36"/>
        <v>0</v>
      </c>
    </row>
    <row r="112" spans="6:38">
      <c r="F112" s="175">
        <f t="shared" si="23"/>
        <v>0</v>
      </c>
      <c r="H112" s="175">
        <f t="shared" si="24"/>
        <v>0</v>
      </c>
      <c r="J112" s="175">
        <f t="shared" si="25"/>
        <v>0</v>
      </c>
      <c r="L112" s="175">
        <f t="shared" si="26"/>
        <v>0</v>
      </c>
      <c r="O112" s="175">
        <f t="shared" si="27"/>
        <v>0</v>
      </c>
      <c r="Q112" s="175">
        <f t="shared" si="28"/>
        <v>0</v>
      </c>
      <c r="S112" s="175">
        <f t="shared" si="29"/>
        <v>0</v>
      </c>
      <c r="U112" s="175">
        <f t="shared" si="30"/>
        <v>0</v>
      </c>
      <c r="X112" s="175">
        <f t="shared" si="31"/>
        <v>0</v>
      </c>
      <c r="Z112" s="175">
        <f t="shared" si="32"/>
        <v>0</v>
      </c>
      <c r="AB112" s="175">
        <f t="shared" si="33"/>
        <v>0</v>
      </c>
      <c r="AD112" s="25"/>
      <c r="AE112" s="175">
        <f t="shared" si="37"/>
        <v>0</v>
      </c>
      <c r="AF112" s="25"/>
      <c r="AG112" s="175">
        <f t="shared" si="34"/>
        <v>0</v>
      </c>
      <c r="AJ112" s="175">
        <f t="shared" si="35"/>
        <v>0</v>
      </c>
      <c r="AL112" s="175">
        <f t="shared" si="36"/>
        <v>0</v>
      </c>
    </row>
    <row r="113" spans="6:38">
      <c r="F113" s="175">
        <f t="shared" si="23"/>
        <v>0</v>
      </c>
      <c r="H113" s="175">
        <f t="shared" si="24"/>
        <v>0</v>
      </c>
      <c r="J113" s="175">
        <f t="shared" si="25"/>
        <v>0</v>
      </c>
      <c r="L113" s="175">
        <f t="shared" si="26"/>
        <v>0</v>
      </c>
      <c r="O113" s="175">
        <f t="shared" si="27"/>
        <v>0</v>
      </c>
      <c r="Q113" s="175">
        <f t="shared" si="28"/>
        <v>0</v>
      </c>
      <c r="S113" s="175">
        <f t="shared" si="29"/>
        <v>0</v>
      </c>
      <c r="U113" s="175">
        <f t="shared" si="30"/>
        <v>0</v>
      </c>
      <c r="X113" s="175">
        <f t="shared" si="31"/>
        <v>0</v>
      </c>
      <c r="Z113" s="175">
        <f t="shared" si="32"/>
        <v>0</v>
      </c>
      <c r="AB113" s="175">
        <f t="shared" si="33"/>
        <v>0</v>
      </c>
      <c r="AD113" s="25"/>
      <c r="AE113" s="175">
        <f t="shared" si="37"/>
        <v>0</v>
      </c>
      <c r="AF113" s="25"/>
      <c r="AG113" s="175">
        <f t="shared" si="34"/>
        <v>0</v>
      </c>
      <c r="AJ113" s="175">
        <f t="shared" si="35"/>
        <v>0</v>
      </c>
      <c r="AL113" s="175">
        <f t="shared" si="36"/>
        <v>0</v>
      </c>
    </row>
    <row r="114" spans="6:38">
      <c r="F114" s="175">
        <f t="shared" si="23"/>
        <v>0</v>
      </c>
      <c r="H114" s="175">
        <f t="shared" si="24"/>
        <v>0</v>
      </c>
      <c r="J114" s="175">
        <f t="shared" si="25"/>
        <v>0</v>
      </c>
      <c r="L114" s="175">
        <f t="shared" si="26"/>
        <v>0</v>
      </c>
      <c r="O114" s="175">
        <f t="shared" si="27"/>
        <v>0</v>
      </c>
      <c r="Q114" s="175">
        <f t="shared" si="28"/>
        <v>0</v>
      </c>
      <c r="S114" s="175">
        <f t="shared" si="29"/>
        <v>0</v>
      </c>
      <c r="U114" s="175">
        <f t="shared" si="30"/>
        <v>0</v>
      </c>
      <c r="X114" s="175">
        <f t="shared" si="31"/>
        <v>0</v>
      </c>
      <c r="Z114" s="175">
        <f t="shared" si="32"/>
        <v>0</v>
      </c>
      <c r="AB114" s="175">
        <f t="shared" si="33"/>
        <v>0</v>
      </c>
      <c r="AD114" s="25"/>
      <c r="AE114" s="175">
        <f t="shared" si="37"/>
        <v>0</v>
      </c>
      <c r="AF114" s="25"/>
      <c r="AG114" s="175">
        <f t="shared" si="34"/>
        <v>0</v>
      </c>
      <c r="AJ114" s="175">
        <f t="shared" si="35"/>
        <v>0</v>
      </c>
      <c r="AL114" s="175">
        <f t="shared" si="36"/>
        <v>0</v>
      </c>
    </row>
    <row r="115" spans="6:38">
      <c r="F115" s="175">
        <f t="shared" si="23"/>
        <v>0</v>
      </c>
      <c r="H115" s="175">
        <f t="shared" si="24"/>
        <v>0</v>
      </c>
      <c r="J115" s="175">
        <f t="shared" si="25"/>
        <v>0</v>
      </c>
      <c r="L115" s="175">
        <f t="shared" si="26"/>
        <v>0</v>
      </c>
      <c r="O115" s="175">
        <f t="shared" si="27"/>
        <v>0</v>
      </c>
      <c r="Q115" s="175">
        <f t="shared" si="28"/>
        <v>0</v>
      </c>
      <c r="S115" s="175">
        <f t="shared" si="29"/>
        <v>0</v>
      </c>
      <c r="U115" s="175">
        <f t="shared" si="30"/>
        <v>0</v>
      </c>
      <c r="X115" s="175">
        <f t="shared" si="31"/>
        <v>0</v>
      </c>
      <c r="Z115" s="175">
        <f t="shared" si="32"/>
        <v>0</v>
      </c>
      <c r="AB115" s="175">
        <f t="shared" si="33"/>
        <v>0</v>
      </c>
      <c r="AD115" s="25"/>
      <c r="AE115" s="175">
        <f t="shared" si="37"/>
        <v>0</v>
      </c>
      <c r="AF115" s="25"/>
      <c r="AG115" s="175">
        <f t="shared" si="34"/>
        <v>0</v>
      </c>
      <c r="AJ115" s="175">
        <f t="shared" si="35"/>
        <v>0</v>
      </c>
      <c r="AL115" s="175">
        <f t="shared" si="36"/>
        <v>0</v>
      </c>
    </row>
    <row r="116" spans="6:38">
      <c r="F116" s="175">
        <f t="shared" si="23"/>
        <v>0</v>
      </c>
      <c r="H116" s="175">
        <f t="shared" si="24"/>
        <v>0</v>
      </c>
      <c r="J116" s="175">
        <f t="shared" si="25"/>
        <v>0</v>
      </c>
      <c r="L116" s="175">
        <f t="shared" si="26"/>
        <v>0</v>
      </c>
      <c r="O116" s="175">
        <f t="shared" si="27"/>
        <v>0</v>
      </c>
      <c r="Q116" s="175">
        <f t="shared" si="28"/>
        <v>0</v>
      </c>
      <c r="S116" s="175">
        <f t="shared" si="29"/>
        <v>0</v>
      </c>
      <c r="U116" s="175">
        <f t="shared" si="30"/>
        <v>0</v>
      </c>
      <c r="X116" s="175">
        <f t="shared" si="31"/>
        <v>0</v>
      </c>
      <c r="Z116" s="175">
        <f t="shared" si="32"/>
        <v>0</v>
      </c>
      <c r="AB116" s="175">
        <f t="shared" si="33"/>
        <v>0</v>
      </c>
      <c r="AD116" s="175"/>
      <c r="AE116" s="175"/>
      <c r="AF116" s="175"/>
      <c r="AG116" s="175"/>
      <c r="AJ116" s="175">
        <f t="shared" si="35"/>
        <v>0</v>
      </c>
      <c r="AL116" s="175">
        <f t="shared" si="36"/>
        <v>0</v>
      </c>
    </row>
    <row r="117" spans="6:38">
      <c r="F117" s="175">
        <f t="shared" si="23"/>
        <v>0</v>
      </c>
      <c r="H117" s="175">
        <f t="shared" si="24"/>
        <v>0</v>
      </c>
      <c r="J117" s="175">
        <f t="shared" si="25"/>
        <v>0</v>
      </c>
      <c r="L117" s="175">
        <f t="shared" si="26"/>
        <v>0</v>
      </c>
      <c r="O117" s="175">
        <f t="shared" si="27"/>
        <v>0</v>
      </c>
      <c r="Q117" s="175">
        <f t="shared" si="28"/>
        <v>0</v>
      </c>
      <c r="S117" s="175">
        <f t="shared" si="29"/>
        <v>0</v>
      </c>
      <c r="U117" s="175">
        <f t="shared" si="30"/>
        <v>0</v>
      </c>
      <c r="X117" s="175">
        <f t="shared" si="31"/>
        <v>0</v>
      </c>
      <c r="Z117" s="175">
        <f t="shared" si="32"/>
        <v>0</v>
      </c>
      <c r="AB117" s="175">
        <f t="shared" si="33"/>
        <v>0</v>
      </c>
      <c r="AD117" s="175"/>
      <c r="AE117" s="175"/>
      <c r="AF117" s="175"/>
      <c r="AG117" s="175"/>
      <c r="AJ117" s="175">
        <f t="shared" si="35"/>
        <v>0</v>
      </c>
      <c r="AL117" s="175">
        <f t="shared" si="36"/>
        <v>0</v>
      </c>
    </row>
    <row r="118" spans="6:38">
      <c r="F118" s="175">
        <f t="shared" si="23"/>
        <v>0</v>
      </c>
      <c r="H118" s="175">
        <f t="shared" si="24"/>
        <v>0</v>
      </c>
      <c r="J118" s="175">
        <f t="shared" si="25"/>
        <v>0</v>
      </c>
      <c r="L118" s="175">
        <f t="shared" si="26"/>
        <v>0</v>
      </c>
      <c r="O118" s="175">
        <f t="shared" si="27"/>
        <v>0</v>
      </c>
      <c r="Q118" s="175">
        <f t="shared" si="28"/>
        <v>0</v>
      </c>
      <c r="S118" s="175">
        <f t="shared" si="29"/>
        <v>0</v>
      </c>
      <c r="U118" s="175">
        <f t="shared" si="30"/>
        <v>0</v>
      </c>
      <c r="X118" s="175">
        <f t="shared" si="31"/>
        <v>0</v>
      </c>
      <c r="Z118" s="175">
        <f t="shared" si="32"/>
        <v>0</v>
      </c>
      <c r="AB118" s="175">
        <f t="shared" si="33"/>
        <v>0</v>
      </c>
      <c r="AD118" s="175"/>
      <c r="AE118" s="175"/>
      <c r="AF118" s="175"/>
      <c r="AG118" s="175"/>
      <c r="AJ118" s="175">
        <f t="shared" si="35"/>
        <v>0</v>
      </c>
      <c r="AL118" s="175">
        <f t="shared" si="36"/>
        <v>0</v>
      </c>
    </row>
    <row r="119" spans="6:38">
      <c r="F119" s="175">
        <f t="shared" si="23"/>
        <v>0</v>
      </c>
      <c r="H119" s="175">
        <f t="shared" si="24"/>
        <v>0</v>
      </c>
      <c r="J119" s="175">
        <f t="shared" si="25"/>
        <v>0</v>
      </c>
      <c r="L119" s="175">
        <f t="shared" si="26"/>
        <v>0</v>
      </c>
      <c r="O119" s="175">
        <f t="shared" si="27"/>
        <v>0</v>
      </c>
      <c r="Q119" s="175">
        <f t="shared" si="28"/>
        <v>0</v>
      </c>
      <c r="S119" s="175">
        <f t="shared" si="29"/>
        <v>0</v>
      </c>
      <c r="U119" s="175">
        <f t="shared" si="30"/>
        <v>0</v>
      </c>
      <c r="X119" s="175">
        <f t="shared" si="31"/>
        <v>0</v>
      </c>
      <c r="Z119" s="175">
        <f t="shared" si="32"/>
        <v>0</v>
      </c>
      <c r="AB119" s="175">
        <f t="shared" si="33"/>
        <v>0</v>
      </c>
      <c r="AD119" s="175"/>
      <c r="AE119" s="175"/>
      <c r="AF119" s="175"/>
      <c r="AG119" s="175"/>
      <c r="AJ119" s="175">
        <f t="shared" si="35"/>
        <v>0</v>
      </c>
      <c r="AL119" s="175">
        <f t="shared" si="36"/>
        <v>0</v>
      </c>
    </row>
    <row r="120" spans="6:38">
      <c r="F120" s="175">
        <f t="shared" si="23"/>
        <v>0</v>
      </c>
      <c r="H120" s="175">
        <f t="shared" si="24"/>
        <v>0</v>
      </c>
      <c r="J120" s="175">
        <f t="shared" si="25"/>
        <v>0</v>
      </c>
      <c r="L120" s="175">
        <f t="shared" si="26"/>
        <v>0</v>
      </c>
      <c r="O120" s="175">
        <f t="shared" si="27"/>
        <v>0</v>
      </c>
      <c r="Q120" s="175">
        <f t="shared" si="28"/>
        <v>0</v>
      </c>
      <c r="S120" s="175">
        <f t="shared" si="29"/>
        <v>0</v>
      </c>
      <c r="U120" s="175">
        <f t="shared" si="30"/>
        <v>0</v>
      </c>
      <c r="X120" s="175">
        <f t="shared" si="31"/>
        <v>0</v>
      </c>
      <c r="Z120" s="175">
        <f t="shared" si="32"/>
        <v>0</v>
      </c>
      <c r="AB120" s="175">
        <f t="shared" si="33"/>
        <v>0</v>
      </c>
      <c r="AD120" s="175"/>
      <c r="AE120" s="175"/>
      <c r="AF120" s="175"/>
      <c r="AG120" s="175"/>
      <c r="AJ120" s="175">
        <f t="shared" si="35"/>
        <v>0</v>
      </c>
      <c r="AL120" s="175">
        <f t="shared" si="36"/>
        <v>0</v>
      </c>
    </row>
    <row r="121" spans="6:38">
      <c r="F121" s="175">
        <f t="shared" si="23"/>
        <v>0</v>
      </c>
      <c r="H121" s="175">
        <f t="shared" si="24"/>
        <v>0</v>
      </c>
      <c r="J121" s="175">
        <f t="shared" si="25"/>
        <v>0</v>
      </c>
      <c r="L121" s="175">
        <f t="shared" si="26"/>
        <v>0</v>
      </c>
      <c r="O121" s="175">
        <f t="shared" si="27"/>
        <v>0</v>
      </c>
      <c r="Q121" s="175">
        <f t="shared" si="28"/>
        <v>0</v>
      </c>
      <c r="S121" s="175">
        <f t="shared" si="29"/>
        <v>0</v>
      </c>
      <c r="U121" s="175">
        <f t="shared" si="30"/>
        <v>0</v>
      </c>
      <c r="X121" s="175">
        <f t="shared" si="31"/>
        <v>0</v>
      </c>
      <c r="Z121" s="175">
        <f t="shared" si="32"/>
        <v>0</v>
      </c>
      <c r="AB121" s="175">
        <f t="shared" si="33"/>
        <v>0</v>
      </c>
      <c r="AD121" s="175"/>
      <c r="AE121" s="175"/>
      <c r="AF121" s="175"/>
      <c r="AG121" s="175"/>
      <c r="AJ121" s="175">
        <f t="shared" si="35"/>
        <v>0</v>
      </c>
      <c r="AL121" s="175">
        <f t="shared" si="36"/>
        <v>0</v>
      </c>
    </row>
    <row r="122" spans="6:38">
      <c r="F122" s="175">
        <f t="shared" ref="F122:F131" si="38">E122*$F$1/$E$1</f>
        <v>0</v>
      </c>
      <c r="H122" s="175">
        <f t="shared" si="24"/>
        <v>0</v>
      </c>
      <c r="J122" s="175">
        <f t="shared" si="25"/>
        <v>0</v>
      </c>
      <c r="L122" s="175">
        <f t="shared" si="26"/>
        <v>0</v>
      </c>
      <c r="O122" s="175">
        <f t="shared" si="27"/>
        <v>0</v>
      </c>
      <c r="Q122" s="175">
        <f t="shared" si="28"/>
        <v>0</v>
      </c>
      <c r="S122" s="175">
        <f t="shared" si="29"/>
        <v>0</v>
      </c>
      <c r="U122" s="175">
        <f t="shared" si="30"/>
        <v>0</v>
      </c>
      <c r="X122" s="175">
        <f t="shared" si="31"/>
        <v>0</v>
      </c>
      <c r="Z122" s="175">
        <f t="shared" si="32"/>
        <v>0</v>
      </c>
      <c r="AB122" s="175">
        <f t="shared" si="33"/>
        <v>0</v>
      </c>
      <c r="AD122" s="175"/>
      <c r="AE122" s="175"/>
      <c r="AF122" s="175"/>
      <c r="AG122" s="175"/>
      <c r="AJ122" s="175">
        <f t="shared" si="35"/>
        <v>0</v>
      </c>
      <c r="AL122" s="175">
        <f t="shared" si="36"/>
        <v>0</v>
      </c>
    </row>
    <row r="123" spans="6:38">
      <c r="F123" s="175">
        <f t="shared" si="38"/>
        <v>0</v>
      </c>
      <c r="H123" s="175">
        <f t="shared" si="24"/>
        <v>0</v>
      </c>
      <c r="J123" s="175">
        <f t="shared" si="25"/>
        <v>0</v>
      </c>
      <c r="L123" s="175">
        <f t="shared" si="26"/>
        <v>0</v>
      </c>
      <c r="O123" s="175">
        <f t="shared" si="27"/>
        <v>0</v>
      </c>
      <c r="Q123" s="175">
        <f t="shared" si="28"/>
        <v>0</v>
      </c>
      <c r="S123" s="175">
        <f t="shared" si="29"/>
        <v>0</v>
      </c>
      <c r="U123" s="175">
        <f t="shared" si="30"/>
        <v>0</v>
      </c>
      <c r="X123" s="175">
        <f t="shared" si="31"/>
        <v>0</v>
      </c>
      <c r="Z123" s="175">
        <f t="shared" si="32"/>
        <v>0</v>
      </c>
      <c r="AB123" s="175">
        <f t="shared" si="33"/>
        <v>0</v>
      </c>
      <c r="AD123" s="175"/>
      <c r="AE123" s="175"/>
      <c r="AF123" s="175"/>
      <c r="AG123" s="175"/>
      <c r="AJ123" s="175">
        <f t="shared" si="35"/>
        <v>0</v>
      </c>
      <c r="AL123" s="175">
        <f t="shared" si="36"/>
        <v>0</v>
      </c>
    </row>
    <row r="124" spans="6:38">
      <c r="F124" s="175">
        <f t="shared" si="38"/>
        <v>0</v>
      </c>
      <c r="H124" s="175">
        <f t="shared" si="24"/>
        <v>0</v>
      </c>
      <c r="J124" s="175">
        <f t="shared" si="25"/>
        <v>0</v>
      </c>
      <c r="L124" s="175">
        <f t="shared" si="26"/>
        <v>0</v>
      </c>
      <c r="O124" s="175">
        <f t="shared" si="27"/>
        <v>0</v>
      </c>
      <c r="Q124" s="175">
        <f t="shared" si="28"/>
        <v>0</v>
      </c>
      <c r="S124" s="175">
        <f t="shared" si="29"/>
        <v>0</v>
      </c>
      <c r="U124" s="175">
        <f t="shared" si="30"/>
        <v>0</v>
      </c>
      <c r="X124" s="175">
        <f t="shared" si="31"/>
        <v>0</v>
      </c>
      <c r="Z124" s="175">
        <f t="shared" si="32"/>
        <v>0</v>
      </c>
      <c r="AB124" s="175">
        <f t="shared" si="33"/>
        <v>0</v>
      </c>
      <c r="AD124" s="175"/>
      <c r="AE124" s="175"/>
      <c r="AF124" s="175"/>
      <c r="AG124" s="175"/>
      <c r="AJ124" s="175">
        <f t="shared" si="35"/>
        <v>0</v>
      </c>
      <c r="AL124" s="175">
        <f t="shared" si="36"/>
        <v>0</v>
      </c>
    </row>
    <row r="125" spans="6:38">
      <c r="F125" s="175">
        <f t="shared" si="38"/>
        <v>0</v>
      </c>
      <c r="H125" s="175">
        <f t="shared" si="24"/>
        <v>0</v>
      </c>
      <c r="J125" s="175">
        <f t="shared" si="25"/>
        <v>0</v>
      </c>
      <c r="L125" s="175">
        <f t="shared" si="26"/>
        <v>0</v>
      </c>
      <c r="O125" s="175">
        <f t="shared" si="27"/>
        <v>0</v>
      </c>
      <c r="Q125" s="175">
        <f t="shared" si="28"/>
        <v>0</v>
      </c>
      <c r="S125" s="175">
        <f t="shared" si="29"/>
        <v>0</v>
      </c>
      <c r="U125" s="175">
        <f t="shared" si="30"/>
        <v>0</v>
      </c>
      <c r="X125" s="175">
        <f t="shared" si="31"/>
        <v>0</v>
      </c>
      <c r="Z125" s="175">
        <f t="shared" si="32"/>
        <v>0</v>
      </c>
      <c r="AB125" s="175">
        <f t="shared" si="33"/>
        <v>0</v>
      </c>
      <c r="AD125" s="175"/>
      <c r="AE125" s="175"/>
      <c r="AF125" s="175"/>
      <c r="AG125" s="175"/>
      <c r="AJ125" s="175">
        <f t="shared" si="35"/>
        <v>0</v>
      </c>
      <c r="AL125" s="175">
        <f t="shared" si="36"/>
        <v>0</v>
      </c>
    </row>
    <row r="126" spans="6:38">
      <c r="F126" s="175">
        <f t="shared" si="38"/>
        <v>0</v>
      </c>
      <c r="H126" s="175">
        <f t="shared" si="24"/>
        <v>0</v>
      </c>
      <c r="J126" s="175">
        <f t="shared" si="25"/>
        <v>0</v>
      </c>
      <c r="L126" s="175">
        <f t="shared" si="26"/>
        <v>0</v>
      </c>
      <c r="O126" s="175">
        <f t="shared" si="27"/>
        <v>0</v>
      </c>
      <c r="Q126" s="175">
        <f t="shared" si="28"/>
        <v>0</v>
      </c>
      <c r="S126" s="175">
        <f t="shared" si="29"/>
        <v>0</v>
      </c>
      <c r="U126" s="175">
        <f t="shared" si="30"/>
        <v>0</v>
      </c>
      <c r="X126" s="175">
        <f t="shared" si="31"/>
        <v>0</v>
      </c>
      <c r="Z126" s="175">
        <f t="shared" si="32"/>
        <v>0</v>
      </c>
      <c r="AB126" s="175">
        <f t="shared" si="33"/>
        <v>0</v>
      </c>
      <c r="AD126" s="175"/>
      <c r="AE126" s="175"/>
      <c r="AF126" s="175"/>
      <c r="AG126" s="175"/>
      <c r="AJ126" s="175">
        <f t="shared" si="35"/>
        <v>0</v>
      </c>
      <c r="AL126" s="175">
        <f t="shared" si="36"/>
        <v>0</v>
      </c>
    </row>
    <row r="127" spans="6:38">
      <c r="F127" s="175">
        <f t="shared" si="38"/>
        <v>0</v>
      </c>
      <c r="H127" s="175">
        <f t="shared" si="24"/>
        <v>0</v>
      </c>
      <c r="J127" s="175">
        <f t="shared" si="25"/>
        <v>0</v>
      </c>
      <c r="L127" s="175">
        <f t="shared" si="26"/>
        <v>0</v>
      </c>
      <c r="O127" s="175">
        <f t="shared" si="27"/>
        <v>0</v>
      </c>
      <c r="Q127" s="175">
        <f t="shared" si="28"/>
        <v>0</v>
      </c>
      <c r="S127" s="175">
        <f t="shared" si="29"/>
        <v>0</v>
      </c>
      <c r="U127" s="175">
        <f t="shared" si="30"/>
        <v>0</v>
      </c>
      <c r="X127" s="175">
        <f t="shared" si="31"/>
        <v>0</v>
      </c>
      <c r="Z127" s="175">
        <f t="shared" si="32"/>
        <v>0</v>
      </c>
      <c r="AB127" s="175">
        <f t="shared" si="33"/>
        <v>0</v>
      </c>
      <c r="AD127" s="175"/>
      <c r="AE127" s="175"/>
      <c r="AF127" s="175"/>
      <c r="AG127" s="175"/>
      <c r="AJ127" s="175">
        <f t="shared" si="35"/>
        <v>0</v>
      </c>
      <c r="AL127" s="175">
        <f t="shared" si="36"/>
        <v>0</v>
      </c>
    </row>
    <row r="128" spans="6:38">
      <c r="F128" s="175">
        <f t="shared" si="38"/>
        <v>0</v>
      </c>
      <c r="H128" s="175">
        <f t="shared" si="24"/>
        <v>0</v>
      </c>
      <c r="J128" s="175">
        <f t="shared" si="25"/>
        <v>0</v>
      </c>
      <c r="L128" s="175">
        <f t="shared" si="26"/>
        <v>0</v>
      </c>
      <c r="O128" s="175">
        <f t="shared" si="27"/>
        <v>0</v>
      </c>
      <c r="Q128" s="175">
        <f t="shared" si="28"/>
        <v>0</v>
      </c>
      <c r="S128" s="175">
        <f t="shared" si="29"/>
        <v>0</v>
      </c>
      <c r="U128" s="175">
        <f t="shared" si="30"/>
        <v>0</v>
      </c>
      <c r="X128" s="175">
        <f t="shared" si="31"/>
        <v>0</v>
      </c>
      <c r="Z128" s="175">
        <f t="shared" si="32"/>
        <v>0</v>
      </c>
      <c r="AB128" s="175">
        <f t="shared" si="33"/>
        <v>0</v>
      </c>
      <c r="AD128" s="175"/>
      <c r="AE128" s="175"/>
      <c r="AF128" s="175"/>
      <c r="AG128" s="175"/>
      <c r="AJ128" s="175">
        <f t="shared" si="35"/>
        <v>0</v>
      </c>
      <c r="AL128" s="175">
        <f t="shared" si="36"/>
        <v>0</v>
      </c>
    </row>
    <row r="129" spans="6:38">
      <c r="F129" s="175">
        <f t="shared" si="38"/>
        <v>0</v>
      </c>
      <c r="H129" s="175">
        <f t="shared" si="24"/>
        <v>0</v>
      </c>
      <c r="J129" s="175">
        <f t="shared" si="25"/>
        <v>0</v>
      </c>
      <c r="L129" s="175">
        <f t="shared" si="26"/>
        <v>0</v>
      </c>
      <c r="O129" s="175">
        <f t="shared" si="27"/>
        <v>0</v>
      </c>
      <c r="Q129" s="175">
        <f t="shared" si="28"/>
        <v>0</v>
      </c>
      <c r="S129" s="175">
        <f t="shared" si="29"/>
        <v>0</v>
      </c>
      <c r="U129" s="175">
        <f t="shared" si="30"/>
        <v>0</v>
      </c>
      <c r="X129" s="175">
        <f t="shared" si="31"/>
        <v>0</v>
      </c>
      <c r="Z129" s="175">
        <f t="shared" si="32"/>
        <v>0</v>
      </c>
      <c r="AB129" s="175">
        <f t="shared" si="33"/>
        <v>0</v>
      </c>
      <c r="AD129" s="175"/>
      <c r="AE129" s="175"/>
      <c r="AF129" s="175"/>
      <c r="AG129" s="175"/>
      <c r="AJ129" s="175">
        <f t="shared" si="35"/>
        <v>0</v>
      </c>
      <c r="AL129" s="175">
        <f t="shared" si="36"/>
        <v>0</v>
      </c>
    </row>
    <row r="130" spans="6:38">
      <c r="F130" s="175">
        <f t="shared" si="38"/>
        <v>0</v>
      </c>
      <c r="H130" s="175">
        <f t="shared" si="24"/>
        <v>0</v>
      </c>
      <c r="J130" s="175">
        <f t="shared" si="25"/>
        <v>0</v>
      </c>
      <c r="L130" s="175">
        <f t="shared" si="26"/>
        <v>0</v>
      </c>
      <c r="O130" s="175">
        <f t="shared" si="27"/>
        <v>0</v>
      </c>
      <c r="Q130" s="175">
        <f t="shared" si="28"/>
        <v>0</v>
      </c>
      <c r="S130" s="175">
        <f t="shared" si="29"/>
        <v>0</v>
      </c>
      <c r="U130" s="175">
        <f t="shared" si="30"/>
        <v>0</v>
      </c>
      <c r="X130" s="175">
        <f t="shared" si="31"/>
        <v>0</v>
      </c>
      <c r="Z130" s="175">
        <f t="shared" si="32"/>
        <v>0</v>
      </c>
      <c r="AB130" s="175">
        <f t="shared" si="33"/>
        <v>0</v>
      </c>
      <c r="AD130" s="175"/>
      <c r="AE130" s="175"/>
      <c r="AF130" s="175"/>
      <c r="AG130" s="175"/>
      <c r="AJ130" s="175">
        <f t="shared" si="35"/>
        <v>0</v>
      </c>
      <c r="AL130" s="175">
        <f t="shared" si="36"/>
        <v>0</v>
      </c>
    </row>
    <row r="131" spans="6:38">
      <c r="F131" s="175">
        <f t="shared" si="38"/>
        <v>0</v>
      </c>
      <c r="H131" s="175">
        <f t="shared" si="24"/>
        <v>0</v>
      </c>
      <c r="J131" s="175">
        <f t="shared" si="25"/>
        <v>0</v>
      </c>
      <c r="L131" s="175">
        <f t="shared" si="26"/>
        <v>0</v>
      </c>
      <c r="O131" s="175">
        <f t="shared" si="27"/>
        <v>0</v>
      </c>
      <c r="Q131" s="175">
        <f t="shared" si="28"/>
        <v>0</v>
      </c>
      <c r="S131" s="175">
        <f t="shared" si="29"/>
        <v>0</v>
      </c>
      <c r="U131" s="175">
        <f t="shared" si="30"/>
        <v>0</v>
      </c>
      <c r="X131" s="175">
        <f t="shared" si="31"/>
        <v>0</v>
      </c>
      <c r="Z131" s="175">
        <f t="shared" si="32"/>
        <v>0</v>
      </c>
      <c r="AB131" s="175">
        <f t="shared" si="33"/>
        <v>0</v>
      </c>
      <c r="AD131" s="175"/>
      <c r="AE131" s="175"/>
      <c r="AF131" s="175"/>
      <c r="AG131" s="175"/>
      <c r="AJ131" s="175">
        <f t="shared" si="35"/>
        <v>0</v>
      </c>
      <c r="AL131" s="175">
        <f t="shared" si="36"/>
        <v>0</v>
      </c>
    </row>
    <row r="132" spans="6:38">
      <c r="F132" s="151"/>
      <c r="Q132" s="175"/>
    </row>
  </sheetData>
  <mergeCells count="14">
    <mergeCell ref="C22:D22"/>
    <mergeCell ref="C9:D9"/>
    <mergeCell ref="C19:D19"/>
    <mergeCell ref="C20:D20"/>
    <mergeCell ref="C14:D14"/>
    <mergeCell ref="C15:D15"/>
    <mergeCell ref="C16:D16"/>
    <mergeCell ref="C17:D17"/>
    <mergeCell ref="C18:D18"/>
    <mergeCell ref="B1:B2"/>
    <mergeCell ref="C1:C2"/>
    <mergeCell ref="C11:D11"/>
    <mergeCell ref="C13:D13"/>
    <mergeCell ref="C21:D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BFE4-473B-4F1E-9D53-BE9FC55220BB}">
  <sheetPr>
    <tabColor theme="9" tint="-0.499984740745262"/>
  </sheetPr>
  <dimension ref="B1:X105"/>
  <sheetViews>
    <sheetView topLeftCell="A11" workbookViewId="0">
      <selection activeCell="B14" sqref="B14"/>
    </sheetView>
  </sheetViews>
  <sheetFormatPr defaultRowHeight="13.9"/>
  <cols>
    <col min="1" max="1" width="4.28515625" customWidth="1"/>
  </cols>
  <sheetData>
    <row r="1" spans="2:22" ht="47.25" customHeight="1">
      <c r="B1" s="837" t="s">
        <v>374</v>
      </c>
      <c r="C1" s="837"/>
      <c r="D1" s="837"/>
      <c r="E1" s="837"/>
      <c r="F1" s="837"/>
      <c r="G1" s="837"/>
      <c r="H1" s="837"/>
      <c r="I1" s="837"/>
      <c r="J1" s="837"/>
      <c r="K1" s="837"/>
      <c r="L1" s="837"/>
      <c r="M1" s="837"/>
      <c r="N1" s="837"/>
      <c r="O1" s="837"/>
      <c r="P1" s="837"/>
      <c r="Q1" s="837"/>
      <c r="R1" s="837"/>
      <c r="S1" s="837"/>
      <c r="T1" s="837"/>
      <c r="U1" s="837"/>
      <c r="V1" s="837"/>
    </row>
    <row r="2" spans="2:22">
      <c r="B2" s="775" t="s">
        <v>375</v>
      </c>
      <c r="C2" s="775"/>
      <c r="D2" s="775"/>
      <c r="E2" s="775"/>
      <c r="F2" s="775"/>
      <c r="G2" s="775"/>
      <c r="H2" s="775"/>
      <c r="I2" s="775"/>
      <c r="J2" s="775"/>
      <c r="K2" s="775"/>
      <c r="L2" s="775"/>
      <c r="M2" s="775"/>
      <c r="N2" s="775"/>
      <c r="O2" s="775"/>
      <c r="P2" s="775"/>
      <c r="Q2" s="775"/>
      <c r="R2" s="775"/>
      <c r="S2" s="775"/>
      <c r="T2" s="775"/>
      <c r="U2" s="775"/>
      <c r="V2" s="775"/>
    </row>
    <row r="3" spans="2:22">
      <c r="B3" s="775"/>
      <c r="C3" s="775"/>
      <c r="D3" s="775"/>
      <c r="E3" s="775"/>
      <c r="F3" s="775"/>
      <c r="G3" s="775"/>
      <c r="H3" s="775"/>
      <c r="I3" s="775"/>
      <c r="J3" s="775"/>
      <c r="K3" s="775"/>
      <c r="L3" s="775"/>
      <c r="M3" s="775"/>
      <c r="N3" s="775"/>
      <c r="O3" s="775"/>
      <c r="P3" s="775"/>
      <c r="Q3" s="775"/>
      <c r="R3" s="775"/>
      <c r="S3" s="775"/>
      <c r="T3" s="775"/>
      <c r="U3" s="775"/>
      <c r="V3" s="775"/>
    </row>
    <row r="5" spans="2:22">
      <c r="B5" s="31" t="s">
        <v>376</v>
      </c>
    </row>
    <row r="6" spans="2:22">
      <c r="B6" s="31"/>
    </row>
    <row r="7" spans="2:22">
      <c r="B7" s="31" t="s">
        <v>377</v>
      </c>
    </row>
    <row r="8" spans="2:22">
      <c r="B8" s="31" t="s">
        <v>378</v>
      </c>
    </row>
    <row r="9" spans="2:22">
      <c r="B9" t="s">
        <v>379</v>
      </c>
    </row>
    <row r="10" spans="2:22">
      <c r="B10" t="s">
        <v>380</v>
      </c>
    </row>
    <row r="11" spans="2:22">
      <c r="B11" t="s">
        <v>381</v>
      </c>
    </row>
    <row r="12" spans="2:22">
      <c r="B12" s="32"/>
    </row>
    <row r="14" spans="2:22">
      <c r="B14" s="46" t="s">
        <v>382</v>
      </c>
      <c r="C14" s="5"/>
      <c r="D14" s="5"/>
      <c r="E14" s="5"/>
      <c r="F14" s="5"/>
      <c r="G14" s="5"/>
      <c r="H14" s="5"/>
      <c r="I14" s="5"/>
      <c r="J14" s="5"/>
      <c r="K14" s="5"/>
      <c r="L14" s="5"/>
      <c r="M14" s="5"/>
      <c r="N14" s="5"/>
      <c r="O14" s="5"/>
      <c r="P14" s="5"/>
      <c r="Q14" s="5"/>
      <c r="R14" s="5"/>
      <c r="S14" s="5"/>
      <c r="T14" s="5"/>
      <c r="U14" s="5"/>
      <c r="V14" s="6"/>
    </row>
    <row r="15" spans="2:22">
      <c r="B15" s="7"/>
      <c r="C15" t="s">
        <v>383</v>
      </c>
      <c r="V15" s="8"/>
    </row>
    <row r="16" spans="2:22">
      <c r="B16" s="7"/>
      <c r="V16" s="8"/>
    </row>
    <row r="17" spans="2:24">
      <c r="V17" s="8"/>
    </row>
    <row r="18" spans="2:24" ht="33.75" customHeight="1">
      <c r="B18" s="7"/>
      <c r="M18" s="838"/>
      <c r="N18" s="839"/>
      <c r="O18" s="839"/>
      <c r="P18" s="839"/>
      <c r="Q18" s="839"/>
      <c r="R18" s="839"/>
      <c r="S18" s="839"/>
      <c r="T18" s="839"/>
      <c r="U18" s="839"/>
      <c r="V18" s="840"/>
    </row>
    <row r="19" spans="2:24" ht="29.25" customHeight="1">
      <c r="B19" s="7"/>
      <c r="M19" s="15"/>
      <c r="N19" s="18"/>
      <c r="O19" s="18"/>
      <c r="P19" s="18"/>
      <c r="Q19" s="18"/>
      <c r="R19" s="18"/>
      <c r="S19" s="18"/>
      <c r="T19" s="18"/>
      <c r="U19" s="40"/>
      <c r="V19" s="8"/>
    </row>
    <row r="20" spans="2:24" ht="15" customHeight="1">
      <c r="B20" s="7"/>
      <c r="D20" s="796" t="s">
        <v>384</v>
      </c>
      <c r="E20" s="797"/>
      <c r="F20" s="798"/>
      <c r="H20" s="796" t="s">
        <v>385</v>
      </c>
      <c r="I20" s="797"/>
      <c r="J20" s="798"/>
      <c r="K20" s="12"/>
      <c r="M20" s="41"/>
      <c r="N20" s="796"/>
      <c r="O20" s="797"/>
      <c r="P20" s="798"/>
      <c r="R20" s="796"/>
      <c r="S20" s="797"/>
      <c r="T20" s="798"/>
      <c r="U20" s="42"/>
      <c r="V20" s="8"/>
    </row>
    <row r="21" spans="2:24">
      <c r="B21" s="7"/>
      <c r="D21" s="799"/>
      <c r="E21" s="800"/>
      <c r="F21" s="801"/>
      <c r="H21" s="799"/>
      <c r="I21" s="800"/>
      <c r="J21" s="801"/>
      <c r="K21" s="12"/>
      <c r="M21" s="41"/>
      <c r="N21" s="799"/>
      <c r="O21" s="800"/>
      <c r="P21" s="801"/>
      <c r="R21" s="799"/>
      <c r="S21" s="800"/>
      <c r="T21" s="801"/>
      <c r="U21" s="42"/>
      <c r="V21" s="8"/>
    </row>
    <row r="22" spans="2:24">
      <c r="B22" s="7"/>
      <c r="D22" s="802"/>
      <c r="E22" s="803"/>
      <c r="F22" s="804"/>
      <c r="H22" s="802"/>
      <c r="I22" s="803"/>
      <c r="J22" s="804"/>
      <c r="K22" s="12"/>
      <c r="M22" s="41"/>
      <c r="N22" s="802"/>
      <c r="O22" s="803"/>
      <c r="P22" s="804"/>
      <c r="R22" s="802"/>
      <c r="S22" s="803"/>
      <c r="T22" s="804"/>
      <c r="U22" s="42"/>
      <c r="V22" s="8"/>
    </row>
    <row r="23" spans="2:24" ht="15" customHeight="1">
      <c r="B23" s="7"/>
      <c r="M23" s="41"/>
      <c r="N23" s="834"/>
      <c r="O23" s="834"/>
      <c r="P23" s="834"/>
      <c r="R23" s="848"/>
      <c r="S23" s="848"/>
      <c r="T23" s="848"/>
      <c r="U23" s="43"/>
      <c r="V23" s="8"/>
    </row>
    <row r="24" spans="2:24" ht="22.5" customHeight="1">
      <c r="B24" s="7"/>
      <c r="M24" s="41"/>
      <c r="N24" s="834"/>
      <c r="O24" s="834"/>
      <c r="P24" s="834"/>
      <c r="R24" s="848"/>
      <c r="S24" s="848"/>
      <c r="T24" s="848"/>
      <c r="U24" s="43"/>
      <c r="V24" s="8"/>
    </row>
    <row r="25" spans="2:24">
      <c r="B25" s="7"/>
      <c r="M25" s="41"/>
      <c r="N25" s="834"/>
      <c r="O25" s="834"/>
      <c r="P25" s="834"/>
      <c r="R25" s="848"/>
      <c r="S25" s="848"/>
      <c r="T25" s="848"/>
      <c r="U25" s="43"/>
      <c r="V25" s="8"/>
      <c r="X25">
        <f>216+32+8+8</f>
        <v>264</v>
      </c>
    </row>
    <row r="26" spans="2:24">
      <c r="B26" s="7"/>
      <c r="M26" s="41"/>
      <c r="N26" s="39"/>
      <c r="O26" s="39"/>
      <c r="U26" s="42"/>
      <c r="V26" s="8"/>
    </row>
    <row r="27" spans="2:24" ht="15" customHeight="1">
      <c r="B27" s="7"/>
      <c r="M27" s="41"/>
      <c r="N27" s="796"/>
      <c r="O27" s="797"/>
      <c r="P27" s="798"/>
      <c r="R27" s="796"/>
      <c r="S27" s="797"/>
      <c r="T27" s="798"/>
      <c r="U27" s="42"/>
      <c r="V27" s="8"/>
    </row>
    <row r="28" spans="2:24">
      <c r="B28" s="7"/>
      <c r="M28" s="41"/>
      <c r="N28" s="799"/>
      <c r="O28" s="800"/>
      <c r="P28" s="801"/>
      <c r="R28" s="799"/>
      <c r="S28" s="800"/>
      <c r="T28" s="801"/>
      <c r="U28" s="42"/>
      <c r="V28" s="8"/>
    </row>
    <row r="29" spans="2:24">
      <c r="B29" s="7"/>
      <c r="M29" s="41"/>
      <c r="N29" s="802"/>
      <c r="O29" s="803"/>
      <c r="P29" s="804"/>
      <c r="R29" s="802"/>
      <c r="S29" s="803"/>
      <c r="T29" s="804"/>
      <c r="U29" s="42"/>
      <c r="V29" s="8"/>
    </row>
    <row r="30" spans="2:24" ht="15" customHeight="1">
      <c r="B30" s="7"/>
      <c r="M30" s="41"/>
      <c r="N30" s="835"/>
      <c r="O30" s="834"/>
      <c r="P30" s="834"/>
      <c r="R30" s="834"/>
      <c r="S30" s="834"/>
      <c r="T30" s="834"/>
      <c r="U30" s="42"/>
      <c r="V30" s="8"/>
    </row>
    <row r="31" spans="2:24">
      <c r="B31" s="7"/>
      <c r="M31" s="41"/>
      <c r="N31" s="834"/>
      <c r="O31" s="834"/>
      <c r="P31" s="834"/>
      <c r="R31" s="834"/>
      <c r="S31" s="834"/>
      <c r="T31" s="834"/>
      <c r="U31" s="42"/>
      <c r="V31" s="8"/>
    </row>
    <row r="32" spans="2:24">
      <c r="B32" s="7"/>
      <c r="M32" s="41"/>
      <c r="N32" s="834"/>
      <c r="O32" s="834"/>
      <c r="P32" s="834"/>
      <c r="R32" s="834"/>
      <c r="S32" s="834"/>
      <c r="T32" s="834"/>
      <c r="U32" s="42"/>
      <c r="V32" s="8"/>
    </row>
    <row r="33" spans="2:22" ht="28.5" customHeight="1">
      <c r="B33" s="7"/>
      <c r="M33" s="44"/>
      <c r="N33" s="17"/>
      <c r="O33" s="17"/>
      <c r="P33" s="17"/>
      <c r="Q33" s="17"/>
      <c r="R33" s="17"/>
      <c r="S33" s="17"/>
      <c r="T33" s="17"/>
      <c r="U33" s="45"/>
      <c r="V33" s="8"/>
    </row>
    <row r="34" spans="2:22">
      <c r="B34" s="7"/>
      <c r="V34" s="8"/>
    </row>
    <row r="35" spans="2:22">
      <c r="B35" s="9"/>
      <c r="C35" s="10"/>
      <c r="D35" s="10"/>
      <c r="E35" s="10"/>
      <c r="F35" s="10"/>
      <c r="G35" s="10"/>
      <c r="H35" s="10"/>
      <c r="I35" s="10"/>
      <c r="J35" s="10"/>
      <c r="K35" s="10"/>
      <c r="L35" s="10"/>
      <c r="M35" s="10"/>
      <c r="N35" s="10"/>
      <c r="O35" s="10"/>
      <c r="P35" s="10"/>
      <c r="Q35" s="10"/>
      <c r="R35" s="10"/>
      <c r="S35" s="10"/>
      <c r="T35" s="10"/>
      <c r="U35" s="10"/>
      <c r="V35" s="11"/>
    </row>
    <row r="36" spans="2:22" ht="20.25" customHeight="1">
      <c r="M36" s="846"/>
      <c r="N36" s="846"/>
      <c r="O36" s="846"/>
      <c r="P36" s="846"/>
      <c r="Q36" s="846"/>
      <c r="R36" s="846"/>
      <c r="S36" s="846"/>
      <c r="T36" s="846"/>
      <c r="U36" s="846"/>
      <c r="V36" s="846"/>
    </row>
    <row r="37" spans="2:22">
      <c r="M37" s="847"/>
      <c r="N37" s="847"/>
      <c r="O37" s="847"/>
      <c r="P37" s="847"/>
      <c r="Q37" s="847"/>
      <c r="R37" s="847"/>
      <c r="S37" s="847"/>
      <c r="T37" s="847"/>
      <c r="U37" s="847"/>
      <c r="V37" s="847"/>
    </row>
    <row r="38" spans="2:22">
      <c r="B38" s="46" t="s">
        <v>386</v>
      </c>
      <c r="C38" s="5"/>
      <c r="D38" s="5"/>
      <c r="E38" s="5"/>
      <c r="F38" s="5"/>
      <c r="G38" s="5"/>
      <c r="H38" s="5"/>
      <c r="I38" s="5"/>
      <c r="J38" s="5"/>
      <c r="K38" s="5"/>
      <c r="L38" s="5"/>
      <c r="M38" s="5"/>
      <c r="N38" s="5"/>
      <c r="O38" s="5"/>
      <c r="P38" s="5"/>
      <c r="Q38" s="5"/>
      <c r="R38" s="5"/>
      <c r="S38" s="5"/>
      <c r="T38" s="5"/>
      <c r="U38" s="5"/>
      <c r="V38" s="6"/>
    </row>
    <row r="39" spans="2:22">
      <c r="B39" s="7"/>
      <c r="M39" s="32"/>
      <c r="V39" s="8"/>
    </row>
    <row r="40" spans="2:22">
      <c r="B40" s="7"/>
      <c r="C40" s="32" t="s">
        <v>387</v>
      </c>
      <c r="M40" s="32" t="s">
        <v>388</v>
      </c>
      <c r="V40" s="8"/>
    </row>
    <row r="41" spans="2:22">
      <c r="B41" s="7"/>
      <c r="C41" s="844" t="s">
        <v>389</v>
      </c>
      <c r="D41" s="845"/>
      <c r="E41" s="845"/>
      <c r="F41" s="845"/>
      <c r="G41" s="845"/>
      <c r="H41" s="845"/>
      <c r="I41" s="845"/>
      <c r="J41" s="845"/>
      <c r="K41" s="845"/>
      <c r="M41" s="842" t="s">
        <v>390</v>
      </c>
      <c r="N41" s="843"/>
      <c r="O41" s="843"/>
      <c r="P41" s="843"/>
      <c r="Q41" s="843"/>
      <c r="R41" s="843"/>
      <c r="S41" s="843"/>
      <c r="T41" s="843"/>
      <c r="U41" s="843"/>
      <c r="V41" s="8"/>
    </row>
    <row r="42" spans="2:22">
      <c r="B42" s="7"/>
      <c r="C42" s="845"/>
      <c r="D42" s="845"/>
      <c r="E42" s="845"/>
      <c r="F42" s="845"/>
      <c r="G42" s="845"/>
      <c r="H42" s="845"/>
      <c r="I42" s="845"/>
      <c r="J42" s="845"/>
      <c r="K42" s="845"/>
      <c r="M42" s="843"/>
      <c r="N42" s="843"/>
      <c r="O42" s="843"/>
      <c r="P42" s="843"/>
      <c r="Q42" s="843"/>
      <c r="R42" s="843"/>
      <c r="S42" s="843"/>
      <c r="T42" s="843"/>
      <c r="U42" s="843"/>
      <c r="V42" s="8"/>
    </row>
    <row r="43" spans="2:22" ht="24.75" customHeight="1">
      <c r="B43" s="7"/>
      <c r="C43" s="4"/>
      <c r="D43" s="5"/>
      <c r="E43" s="5"/>
      <c r="F43" s="5"/>
      <c r="G43" s="5"/>
      <c r="H43" s="5"/>
      <c r="I43" s="5"/>
      <c r="J43" s="5"/>
      <c r="K43" s="6"/>
      <c r="M43" s="4"/>
      <c r="N43" s="5"/>
      <c r="O43" s="5"/>
      <c r="P43" s="5"/>
      <c r="Q43" s="5"/>
      <c r="R43" s="5"/>
      <c r="S43" s="5"/>
      <c r="T43" s="5"/>
      <c r="U43" s="6"/>
      <c r="V43" s="8"/>
    </row>
    <row r="44" spans="2:22" ht="15" customHeight="1">
      <c r="B44" s="7"/>
      <c r="C44" s="7"/>
      <c r="D44" s="858" t="s">
        <v>391</v>
      </c>
      <c r="E44" s="859"/>
      <c r="F44" s="860"/>
      <c r="H44" s="796" t="s">
        <v>392</v>
      </c>
      <c r="I44" s="797"/>
      <c r="J44" s="798"/>
      <c r="K44" s="8"/>
      <c r="M44" s="7"/>
      <c r="N44" s="796" t="s">
        <v>393</v>
      </c>
      <c r="O44" s="797"/>
      <c r="P44" s="798"/>
      <c r="R44" s="796" t="s">
        <v>394</v>
      </c>
      <c r="S44" s="797"/>
      <c r="T44" s="798"/>
      <c r="U44" s="8"/>
      <c r="V44" s="8"/>
    </row>
    <row r="45" spans="2:22">
      <c r="B45" s="7"/>
      <c r="C45" s="7"/>
      <c r="D45" s="861"/>
      <c r="E45" s="862"/>
      <c r="F45" s="863"/>
      <c r="H45" s="799"/>
      <c r="I45" s="800"/>
      <c r="J45" s="801"/>
      <c r="K45" s="8"/>
      <c r="M45" s="7"/>
      <c r="N45" s="799"/>
      <c r="O45" s="800"/>
      <c r="P45" s="801"/>
      <c r="R45" s="799"/>
      <c r="S45" s="800"/>
      <c r="T45" s="801"/>
      <c r="U45" s="8"/>
      <c r="V45" s="8"/>
    </row>
    <row r="46" spans="2:22">
      <c r="B46" s="7"/>
      <c r="C46" s="7"/>
      <c r="D46" s="864"/>
      <c r="E46" s="865"/>
      <c r="F46" s="866"/>
      <c r="H46" s="802"/>
      <c r="I46" s="803"/>
      <c r="J46" s="804"/>
      <c r="K46" s="8"/>
      <c r="M46" s="7"/>
      <c r="N46" s="802"/>
      <c r="O46" s="803"/>
      <c r="P46" s="804"/>
      <c r="R46" s="802"/>
      <c r="S46" s="803"/>
      <c r="T46" s="804"/>
      <c r="U46" s="8"/>
      <c r="V46" s="8"/>
    </row>
    <row r="47" spans="2:22" ht="15" customHeight="1">
      <c r="B47" s="7"/>
      <c r="C47" s="7"/>
      <c r="D47" s="832" t="s">
        <v>395</v>
      </c>
      <c r="E47" s="833"/>
      <c r="F47" s="833"/>
      <c r="G47" s="49"/>
      <c r="H47" s="832" t="s">
        <v>396</v>
      </c>
      <c r="I47" s="833"/>
      <c r="J47" s="833"/>
      <c r="K47" s="48"/>
      <c r="M47" s="7"/>
      <c r="N47" s="835" t="s">
        <v>397</v>
      </c>
      <c r="O47" s="835"/>
      <c r="P47" s="835"/>
      <c r="Q47" s="835"/>
      <c r="R47" s="835" t="s">
        <v>398</v>
      </c>
      <c r="S47" s="835"/>
      <c r="T47" s="835"/>
      <c r="U47" s="836"/>
      <c r="V47" s="8"/>
    </row>
    <row r="48" spans="2:22">
      <c r="B48" s="7"/>
      <c r="C48" s="7"/>
      <c r="D48" s="834"/>
      <c r="E48" s="834"/>
      <c r="F48" s="834"/>
      <c r="G48" s="49"/>
      <c r="H48" s="834"/>
      <c r="I48" s="834"/>
      <c r="J48" s="834"/>
      <c r="K48" s="48"/>
      <c r="M48" s="7"/>
      <c r="N48" s="835"/>
      <c r="O48" s="835"/>
      <c r="P48" s="835"/>
      <c r="Q48" s="835"/>
      <c r="R48" s="835"/>
      <c r="S48" s="835"/>
      <c r="T48" s="835"/>
      <c r="U48" s="836"/>
      <c r="V48" s="8"/>
    </row>
    <row r="49" spans="2:22">
      <c r="B49" s="7"/>
      <c r="C49" s="7"/>
      <c r="D49" s="834"/>
      <c r="E49" s="834"/>
      <c r="F49" s="834"/>
      <c r="G49" s="49"/>
      <c r="H49" s="834"/>
      <c r="I49" s="834"/>
      <c r="J49" s="834"/>
      <c r="K49" s="48"/>
      <c r="M49" s="7"/>
      <c r="N49" s="835"/>
      <c r="O49" s="835"/>
      <c r="P49" s="835"/>
      <c r="Q49" s="835"/>
      <c r="R49" s="835"/>
      <c r="S49" s="835"/>
      <c r="T49" s="835"/>
      <c r="U49" s="836"/>
      <c r="V49" s="8"/>
    </row>
    <row r="50" spans="2:22">
      <c r="B50" s="7"/>
      <c r="C50" s="7"/>
      <c r="D50" s="47"/>
      <c r="E50" s="47"/>
      <c r="F50" s="47"/>
      <c r="G50" s="47"/>
      <c r="I50" s="47"/>
      <c r="J50" s="47"/>
      <c r="K50" s="48"/>
      <c r="M50" s="7"/>
      <c r="N50" s="835"/>
      <c r="O50" s="835"/>
      <c r="P50" s="835"/>
      <c r="Q50" s="835"/>
      <c r="R50" s="835"/>
      <c r="S50" s="835"/>
      <c r="T50" s="835"/>
      <c r="U50" s="836"/>
      <c r="V50" s="8"/>
    </row>
    <row r="51" spans="2:22" ht="15" customHeight="1">
      <c r="B51" s="7"/>
      <c r="C51" s="7"/>
      <c r="D51" s="858" t="s">
        <v>399</v>
      </c>
      <c r="E51" s="859"/>
      <c r="F51" s="860"/>
      <c r="H51" s="796" t="s">
        <v>400</v>
      </c>
      <c r="I51" s="797"/>
      <c r="J51" s="798"/>
      <c r="K51" s="8"/>
      <c r="M51" s="7"/>
      <c r="N51" s="796" t="s">
        <v>401</v>
      </c>
      <c r="O51" s="797"/>
      <c r="P51" s="798"/>
      <c r="R51" s="796" t="s">
        <v>402</v>
      </c>
      <c r="S51" s="797"/>
      <c r="T51" s="798"/>
      <c r="U51" s="8"/>
      <c r="V51" s="8"/>
    </row>
    <row r="52" spans="2:22">
      <c r="B52" s="7"/>
      <c r="C52" s="7"/>
      <c r="D52" s="861"/>
      <c r="E52" s="862"/>
      <c r="F52" s="863"/>
      <c r="H52" s="799"/>
      <c r="I52" s="800"/>
      <c r="J52" s="801"/>
      <c r="K52" s="8"/>
      <c r="M52" s="7"/>
      <c r="N52" s="799"/>
      <c r="O52" s="800"/>
      <c r="P52" s="801"/>
      <c r="R52" s="799"/>
      <c r="S52" s="800"/>
      <c r="T52" s="801"/>
      <c r="U52" s="8"/>
      <c r="V52" s="8"/>
    </row>
    <row r="53" spans="2:22">
      <c r="B53" s="7"/>
      <c r="C53" s="7"/>
      <c r="D53" s="864"/>
      <c r="E53" s="865"/>
      <c r="F53" s="866"/>
      <c r="H53" s="802"/>
      <c r="I53" s="803"/>
      <c r="J53" s="804"/>
      <c r="K53" s="8"/>
      <c r="M53" s="7"/>
      <c r="N53" s="802"/>
      <c r="O53" s="803"/>
      <c r="P53" s="804"/>
      <c r="R53" s="802"/>
      <c r="S53" s="803"/>
      <c r="T53" s="804"/>
      <c r="U53" s="8"/>
      <c r="V53" s="8"/>
    </row>
    <row r="54" spans="2:22" ht="15" customHeight="1">
      <c r="B54" s="7"/>
      <c r="C54" s="7"/>
      <c r="D54" s="833"/>
      <c r="E54" s="833"/>
      <c r="F54" s="833"/>
      <c r="H54" s="833"/>
      <c r="I54" s="833"/>
      <c r="J54" s="833"/>
      <c r="K54" s="8"/>
      <c r="M54" s="7"/>
      <c r="N54" s="835" t="s">
        <v>403</v>
      </c>
      <c r="O54" s="835"/>
      <c r="P54" s="835"/>
      <c r="Q54" s="835"/>
      <c r="R54" s="835" t="s">
        <v>404</v>
      </c>
      <c r="S54" s="835"/>
      <c r="T54" s="835"/>
      <c r="U54" s="836"/>
      <c r="V54" s="8"/>
    </row>
    <row r="55" spans="2:22">
      <c r="B55" s="7"/>
      <c r="C55" s="7"/>
      <c r="D55" s="834"/>
      <c r="E55" s="834"/>
      <c r="F55" s="834"/>
      <c r="H55" s="834"/>
      <c r="I55" s="834"/>
      <c r="J55" s="834"/>
      <c r="K55" s="8"/>
      <c r="M55" s="7"/>
      <c r="N55" s="835"/>
      <c r="O55" s="835"/>
      <c r="P55" s="835"/>
      <c r="Q55" s="835"/>
      <c r="R55" s="835"/>
      <c r="S55" s="835"/>
      <c r="T55" s="835"/>
      <c r="U55" s="836"/>
      <c r="V55" s="8"/>
    </row>
    <row r="56" spans="2:22">
      <c r="B56" s="7"/>
      <c r="C56" s="7"/>
      <c r="D56" s="834"/>
      <c r="E56" s="834"/>
      <c r="F56" s="834"/>
      <c r="H56" s="834"/>
      <c r="I56" s="834"/>
      <c r="J56" s="834"/>
      <c r="K56" s="8"/>
      <c r="M56" s="7"/>
      <c r="N56" s="835"/>
      <c r="O56" s="835"/>
      <c r="P56" s="835"/>
      <c r="Q56" s="835"/>
      <c r="R56" s="835"/>
      <c r="S56" s="835"/>
      <c r="T56" s="835"/>
      <c r="U56" s="836"/>
      <c r="V56" s="8"/>
    </row>
    <row r="57" spans="2:22">
      <c r="B57" s="7"/>
      <c r="C57" s="9"/>
      <c r="D57" s="10"/>
      <c r="E57" s="10"/>
      <c r="F57" s="10"/>
      <c r="G57" s="10"/>
      <c r="H57" s="10"/>
      <c r="I57" s="10"/>
      <c r="J57" s="10"/>
      <c r="K57" s="11"/>
      <c r="M57" s="9"/>
      <c r="N57" s="10"/>
      <c r="O57" s="10"/>
      <c r="P57" s="10"/>
      <c r="Q57" s="10"/>
      <c r="R57" s="10"/>
      <c r="S57" s="10"/>
      <c r="T57" s="10"/>
      <c r="U57" s="11"/>
      <c r="V57" s="8"/>
    </row>
    <row r="58" spans="2:22">
      <c r="B58" s="7"/>
      <c r="V58" s="8"/>
    </row>
    <row r="59" spans="2:22">
      <c r="B59" s="7"/>
      <c r="C59" t="s">
        <v>405</v>
      </c>
      <c r="M59" t="s">
        <v>406</v>
      </c>
      <c r="V59" s="8"/>
    </row>
    <row r="60" spans="2:22">
      <c r="B60" s="7"/>
      <c r="C60" s="834" t="s">
        <v>407</v>
      </c>
      <c r="D60" s="770"/>
      <c r="E60" s="770"/>
      <c r="F60" s="770"/>
      <c r="G60" s="770"/>
      <c r="H60" s="770"/>
      <c r="I60" s="770"/>
      <c r="J60" s="770"/>
      <c r="K60" s="770"/>
      <c r="M60" s="834" t="s">
        <v>408</v>
      </c>
      <c r="N60" s="770"/>
      <c r="O60" s="770"/>
      <c r="P60" s="770"/>
      <c r="Q60" s="770"/>
      <c r="R60" s="770"/>
      <c r="S60" s="770"/>
      <c r="T60" s="770"/>
      <c r="U60" s="770"/>
      <c r="V60" s="8"/>
    </row>
    <row r="61" spans="2:22">
      <c r="B61" s="7"/>
      <c r="C61" s="770"/>
      <c r="D61" s="770"/>
      <c r="E61" s="770"/>
      <c r="F61" s="770"/>
      <c r="G61" s="770"/>
      <c r="H61" s="770"/>
      <c r="I61" s="770"/>
      <c r="J61" s="770"/>
      <c r="K61" s="770"/>
      <c r="M61" s="770"/>
      <c r="N61" s="770"/>
      <c r="O61" s="770"/>
      <c r="P61" s="770"/>
      <c r="Q61" s="770"/>
      <c r="R61" s="770"/>
      <c r="S61" s="770"/>
      <c r="T61" s="770"/>
      <c r="U61" s="770"/>
      <c r="V61" s="8"/>
    </row>
    <row r="62" spans="2:22">
      <c r="B62" s="7"/>
      <c r="C62" s="4"/>
      <c r="D62" s="5"/>
      <c r="E62" s="5"/>
      <c r="F62" s="5"/>
      <c r="G62" s="5"/>
      <c r="H62" s="5"/>
      <c r="I62" s="5"/>
      <c r="J62" s="5"/>
      <c r="K62" s="6"/>
      <c r="M62" s="4"/>
      <c r="N62" s="5"/>
      <c r="O62" s="5"/>
      <c r="P62" s="5"/>
      <c r="Q62" s="5"/>
      <c r="R62" s="5"/>
      <c r="S62" s="5"/>
      <c r="T62" s="5"/>
      <c r="U62" s="6"/>
      <c r="V62" s="8"/>
    </row>
    <row r="63" spans="2:22" ht="15" customHeight="1">
      <c r="B63" s="7"/>
      <c r="C63" s="7"/>
      <c r="D63" s="849" t="s">
        <v>357</v>
      </c>
      <c r="E63" s="850"/>
      <c r="F63" s="851"/>
      <c r="H63" s="805" t="s">
        <v>409</v>
      </c>
      <c r="I63" s="806"/>
      <c r="J63" s="807"/>
      <c r="K63" s="8"/>
      <c r="M63" s="7"/>
      <c r="N63" s="805" t="s">
        <v>410</v>
      </c>
      <c r="O63" s="806"/>
      <c r="P63" s="807"/>
      <c r="R63" s="823" t="s">
        <v>411</v>
      </c>
      <c r="S63" s="824"/>
      <c r="T63" s="825"/>
      <c r="U63" s="8"/>
      <c r="V63" s="8"/>
    </row>
    <row r="64" spans="2:22">
      <c r="B64" s="7"/>
      <c r="C64" s="7"/>
      <c r="D64" s="852"/>
      <c r="E64" s="853"/>
      <c r="F64" s="854"/>
      <c r="H64" s="808"/>
      <c r="I64" s="809"/>
      <c r="J64" s="810"/>
      <c r="K64" s="8"/>
      <c r="M64" s="7"/>
      <c r="N64" s="808"/>
      <c r="O64" s="809"/>
      <c r="P64" s="810"/>
      <c r="R64" s="826"/>
      <c r="S64" s="827"/>
      <c r="T64" s="828"/>
      <c r="U64" s="8"/>
      <c r="V64" s="8"/>
    </row>
    <row r="65" spans="2:22">
      <c r="B65" s="7"/>
      <c r="C65" s="7"/>
      <c r="D65" s="855"/>
      <c r="E65" s="856"/>
      <c r="F65" s="857"/>
      <c r="H65" s="811"/>
      <c r="I65" s="812"/>
      <c r="J65" s="813"/>
      <c r="K65" s="8"/>
      <c r="M65" s="7"/>
      <c r="N65" s="811"/>
      <c r="O65" s="812"/>
      <c r="P65" s="813"/>
      <c r="R65" s="829"/>
      <c r="S65" s="830"/>
      <c r="T65" s="831"/>
      <c r="U65" s="8"/>
      <c r="V65" s="8"/>
    </row>
    <row r="66" spans="2:22">
      <c r="B66" s="7"/>
      <c r="C66" s="7"/>
      <c r="K66" s="8"/>
      <c r="M66" s="7"/>
      <c r="U66" s="8"/>
      <c r="V66" s="8"/>
    </row>
    <row r="67" spans="2:22">
      <c r="B67" s="7"/>
      <c r="C67" s="7"/>
      <c r="K67" s="8"/>
      <c r="M67" s="7"/>
      <c r="U67" s="8"/>
      <c r="V67" s="8"/>
    </row>
    <row r="68" spans="2:22">
      <c r="B68" s="7"/>
      <c r="C68" s="7"/>
      <c r="K68" s="8"/>
      <c r="M68" s="7"/>
      <c r="U68" s="8"/>
      <c r="V68" s="8"/>
    </row>
    <row r="69" spans="2:22" ht="15" customHeight="1">
      <c r="B69" s="7"/>
      <c r="C69" s="7"/>
      <c r="D69" s="849" t="s">
        <v>412</v>
      </c>
      <c r="E69" s="850"/>
      <c r="F69" s="851"/>
      <c r="H69" s="814" t="s">
        <v>413</v>
      </c>
      <c r="I69" s="815"/>
      <c r="J69" s="816"/>
      <c r="K69" s="8"/>
      <c r="M69" s="7"/>
      <c r="N69" s="805" t="s">
        <v>414</v>
      </c>
      <c r="O69" s="806"/>
      <c r="P69" s="807"/>
      <c r="R69" s="805" t="s">
        <v>415</v>
      </c>
      <c r="S69" s="806"/>
      <c r="T69" s="807"/>
      <c r="U69" s="8"/>
      <c r="V69" s="8"/>
    </row>
    <row r="70" spans="2:22">
      <c r="B70" s="7"/>
      <c r="C70" s="7"/>
      <c r="D70" s="852"/>
      <c r="E70" s="853"/>
      <c r="F70" s="854"/>
      <c r="H70" s="817"/>
      <c r="I70" s="818"/>
      <c r="J70" s="819"/>
      <c r="K70" s="8"/>
      <c r="M70" s="7"/>
      <c r="N70" s="808"/>
      <c r="O70" s="809"/>
      <c r="P70" s="810"/>
      <c r="R70" s="808"/>
      <c r="S70" s="809"/>
      <c r="T70" s="810"/>
      <c r="U70" s="8"/>
      <c r="V70" s="8"/>
    </row>
    <row r="71" spans="2:22">
      <c r="B71" s="7"/>
      <c r="C71" s="7"/>
      <c r="D71" s="855"/>
      <c r="E71" s="856"/>
      <c r="F71" s="857"/>
      <c r="H71" s="820"/>
      <c r="I71" s="821"/>
      <c r="J71" s="822"/>
      <c r="K71" s="8"/>
      <c r="M71" s="7"/>
      <c r="N71" s="811"/>
      <c r="O71" s="812"/>
      <c r="P71" s="813"/>
      <c r="R71" s="811"/>
      <c r="S71" s="812"/>
      <c r="T71" s="813"/>
      <c r="U71" s="8"/>
      <c r="V71" s="8"/>
    </row>
    <row r="72" spans="2:22">
      <c r="B72" s="7"/>
      <c r="C72" s="7"/>
      <c r="K72" s="8"/>
      <c r="M72" s="7"/>
      <c r="U72" s="8"/>
      <c r="V72" s="8"/>
    </row>
    <row r="73" spans="2:22">
      <c r="B73" s="7"/>
      <c r="C73" s="7"/>
      <c r="K73" s="8"/>
      <c r="M73" s="7"/>
      <c r="U73" s="8"/>
      <c r="V73" s="8"/>
    </row>
    <row r="74" spans="2:22">
      <c r="B74" s="7"/>
      <c r="C74" s="7"/>
      <c r="K74" s="8"/>
      <c r="M74" s="7"/>
      <c r="U74" s="8"/>
      <c r="V74" s="8"/>
    </row>
    <row r="75" spans="2:22">
      <c r="B75" s="7"/>
      <c r="C75" s="9"/>
      <c r="D75" s="10"/>
      <c r="E75" s="10"/>
      <c r="F75" s="10"/>
      <c r="G75" s="10"/>
      <c r="H75" s="10"/>
      <c r="I75" s="10"/>
      <c r="J75" s="10"/>
      <c r="K75" s="11"/>
      <c r="M75" s="9"/>
      <c r="N75" s="10"/>
      <c r="O75" s="10"/>
      <c r="P75" s="10"/>
      <c r="Q75" s="10"/>
      <c r="R75" s="10"/>
      <c r="S75" s="10"/>
      <c r="T75" s="10"/>
      <c r="U75" s="11"/>
      <c r="V75" s="8"/>
    </row>
    <row r="76" spans="2:22">
      <c r="B76" s="9"/>
      <c r="C76" s="10"/>
      <c r="D76" s="10"/>
      <c r="E76" s="10"/>
      <c r="F76" s="10"/>
      <c r="G76" s="10"/>
      <c r="H76" s="10"/>
      <c r="I76" s="10"/>
      <c r="J76" s="10"/>
      <c r="K76" s="10"/>
      <c r="L76" s="10"/>
      <c r="M76" s="10"/>
      <c r="N76" s="10"/>
      <c r="O76" s="10"/>
      <c r="P76" s="10"/>
      <c r="Q76" s="10"/>
      <c r="R76" s="10"/>
      <c r="S76" s="10"/>
      <c r="T76" s="10"/>
      <c r="U76" s="10"/>
      <c r="V76" s="11"/>
    </row>
    <row r="79" spans="2:22">
      <c r="B79" s="73" t="s">
        <v>416</v>
      </c>
      <c r="C79" s="74"/>
      <c r="D79" s="74"/>
      <c r="E79" s="74"/>
      <c r="F79" s="74"/>
      <c r="G79" s="74"/>
      <c r="H79" s="74"/>
      <c r="I79" s="74"/>
      <c r="J79" s="74"/>
      <c r="K79" s="74"/>
      <c r="L79" s="74"/>
      <c r="M79" s="74"/>
      <c r="N79" s="74"/>
      <c r="O79" s="74"/>
      <c r="P79" s="74"/>
      <c r="Q79" s="74"/>
      <c r="R79" s="74"/>
      <c r="S79" s="74"/>
      <c r="T79" s="74"/>
      <c r="U79" s="74"/>
      <c r="V79" s="75"/>
    </row>
    <row r="80" spans="2:22">
      <c r="B80" s="76"/>
      <c r="C80" s="77"/>
      <c r="D80" s="77"/>
      <c r="E80" s="77"/>
      <c r="F80" s="77"/>
      <c r="G80" s="77"/>
      <c r="H80" s="77"/>
      <c r="I80" s="77"/>
      <c r="J80" s="77"/>
      <c r="K80" s="77"/>
      <c r="L80" s="77"/>
      <c r="M80" s="77"/>
      <c r="N80" s="77"/>
      <c r="O80" s="77"/>
      <c r="P80" s="77"/>
      <c r="Q80" s="77"/>
      <c r="R80" s="77"/>
      <c r="S80" s="77"/>
      <c r="T80" s="77"/>
      <c r="U80" s="77"/>
      <c r="V80" s="78"/>
    </row>
    <row r="81" spans="2:22">
      <c r="B81" s="76"/>
      <c r="C81" s="77" t="s">
        <v>387</v>
      </c>
      <c r="D81" s="77"/>
      <c r="E81" s="77"/>
      <c r="F81" s="77"/>
      <c r="G81" s="77"/>
      <c r="H81" s="77"/>
      <c r="I81" s="77"/>
      <c r="J81" s="77"/>
      <c r="K81" s="77"/>
      <c r="L81" s="77"/>
      <c r="M81" s="77" t="s">
        <v>388</v>
      </c>
      <c r="N81" s="77"/>
      <c r="O81" s="77"/>
      <c r="P81" s="77"/>
      <c r="Q81" s="77"/>
      <c r="R81" s="77"/>
      <c r="S81" s="77"/>
      <c r="T81" s="77"/>
      <c r="U81" s="77"/>
      <c r="V81" s="78"/>
    </row>
    <row r="82" spans="2:22">
      <c r="B82" s="76"/>
      <c r="C82" s="73"/>
      <c r="D82" s="74"/>
      <c r="E82" s="74"/>
      <c r="F82" s="74"/>
      <c r="G82" s="74"/>
      <c r="H82" s="74"/>
      <c r="I82" s="74"/>
      <c r="J82" s="74"/>
      <c r="K82" s="75"/>
      <c r="L82" s="77"/>
      <c r="M82" s="73"/>
      <c r="N82" s="74"/>
      <c r="O82" s="74"/>
      <c r="P82" s="74"/>
      <c r="Q82" s="74"/>
      <c r="R82" s="74"/>
      <c r="S82" s="74"/>
      <c r="T82" s="74"/>
      <c r="U82" s="75"/>
      <c r="V82" s="78"/>
    </row>
    <row r="83" spans="2:22" ht="15" customHeight="1">
      <c r="B83" s="76"/>
      <c r="C83" s="76"/>
      <c r="D83" s="841"/>
      <c r="E83" s="841"/>
      <c r="F83" s="841"/>
      <c r="G83" s="77"/>
      <c r="H83" s="77"/>
      <c r="I83" s="841"/>
      <c r="J83" s="841"/>
      <c r="K83" s="78"/>
      <c r="L83" s="77"/>
      <c r="M83" s="76"/>
      <c r="N83" s="841"/>
      <c r="O83" s="841"/>
      <c r="P83" s="77"/>
      <c r="Q83" s="77"/>
      <c r="R83" s="841"/>
      <c r="S83" s="841"/>
      <c r="T83" s="79"/>
      <c r="U83" s="78"/>
      <c r="V83" s="78"/>
    </row>
    <row r="84" spans="2:22">
      <c r="B84" s="76"/>
      <c r="C84" s="76"/>
      <c r="D84" s="841"/>
      <c r="E84" s="841"/>
      <c r="F84" s="841"/>
      <c r="G84" s="77"/>
      <c r="H84" s="77"/>
      <c r="I84" s="841"/>
      <c r="J84" s="841"/>
      <c r="K84" s="78"/>
      <c r="L84" s="77"/>
      <c r="M84" s="76"/>
      <c r="N84" s="841"/>
      <c r="O84" s="841"/>
      <c r="P84" s="77"/>
      <c r="Q84" s="77"/>
      <c r="R84" s="841"/>
      <c r="S84" s="841"/>
      <c r="T84" s="79"/>
      <c r="U84" s="78"/>
      <c r="V84" s="78"/>
    </row>
    <row r="85" spans="2:22">
      <c r="B85" s="76"/>
      <c r="C85" s="76"/>
      <c r="D85" s="841"/>
      <c r="E85" s="841"/>
      <c r="F85" s="841"/>
      <c r="G85" s="77"/>
      <c r="H85" s="77"/>
      <c r="I85" s="841"/>
      <c r="J85" s="841"/>
      <c r="K85" s="78"/>
      <c r="L85" s="77"/>
      <c r="M85" s="76"/>
      <c r="N85" s="841"/>
      <c r="O85" s="841"/>
      <c r="P85" s="77"/>
      <c r="Q85" s="77"/>
      <c r="R85" s="841"/>
      <c r="S85" s="841"/>
      <c r="T85" s="79"/>
      <c r="U85" s="78"/>
      <c r="V85" s="78"/>
    </row>
    <row r="86" spans="2:22">
      <c r="B86" s="76"/>
      <c r="C86" s="76"/>
      <c r="D86" s="77"/>
      <c r="E86" s="77"/>
      <c r="F86" s="77"/>
      <c r="G86" s="77"/>
      <c r="H86" s="77"/>
      <c r="I86" s="77"/>
      <c r="J86" s="77"/>
      <c r="K86" s="78"/>
      <c r="L86" s="77"/>
      <c r="M86" s="76"/>
      <c r="N86" s="77"/>
      <c r="O86" s="77"/>
      <c r="P86" s="77"/>
      <c r="Q86" s="77"/>
      <c r="R86" s="77"/>
      <c r="S86" s="77"/>
      <c r="T86" s="77"/>
      <c r="U86" s="78"/>
      <c r="V86" s="78"/>
    </row>
    <row r="87" spans="2:22">
      <c r="B87" s="76"/>
      <c r="C87" s="76"/>
      <c r="D87" s="77"/>
      <c r="E87" s="77"/>
      <c r="F87" s="77"/>
      <c r="G87" s="77"/>
      <c r="H87" s="77"/>
      <c r="I87" s="77"/>
      <c r="J87" s="77"/>
      <c r="K87" s="78"/>
      <c r="L87" s="77"/>
      <c r="M87" s="76"/>
      <c r="N87" s="77"/>
      <c r="O87" s="77"/>
      <c r="P87" s="77"/>
      <c r="Q87" s="77"/>
      <c r="R87" s="77"/>
      <c r="S87" s="77"/>
      <c r="T87" s="77"/>
      <c r="U87" s="78"/>
      <c r="V87" s="78"/>
    </row>
    <row r="88" spans="2:22" ht="15" customHeight="1">
      <c r="B88" s="76"/>
      <c r="C88" s="76"/>
      <c r="D88" s="841"/>
      <c r="E88" s="841"/>
      <c r="F88" s="841"/>
      <c r="G88" s="77"/>
      <c r="H88" s="77"/>
      <c r="I88" s="841"/>
      <c r="J88" s="841"/>
      <c r="K88" s="78"/>
      <c r="L88" s="77"/>
      <c r="M88" s="76"/>
      <c r="N88" s="841"/>
      <c r="O88" s="841"/>
      <c r="P88" s="77"/>
      <c r="Q88" s="77"/>
      <c r="R88" s="841"/>
      <c r="S88" s="841"/>
      <c r="T88" s="79"/>
      <c r="U88" s="78"/>
      <c r="V88" s="78"/>
    </row>
    <row r="89" spans="2:22">
      <c r="B89" s="76"/>
      <c r="C89" s="76"/>
      <c r="D89" s="841"/>
      <c r="E89" s="841"/>
      <c r="F89" s="841"/>
      <c r="G89" s="77"/>
      <c r="H89" s="77"/>
      <c r="I89" s="841"/>
      <c r="J89" s="841"/>
      <c r="K89" s="78"/>
      <c r="L89" s="77"/>
      <c r="M89" s="76"/>
      <c r="N89" s="841"/>
      <c r="O89" s="841"/>
      <c r="P89" s="77"/>
      <c r="Q89" s="77"/>
      <c r="R89" s="841"/>
      <c r="S89" s="841"/>
      <c r="T89" s="79"/>
      <c r="U89" s="78"/>
      <c r="V89" s="78"/>
    </row>
    <row r="90" spans="2:22">
      <c r="B90" s="76"/>
      <c r="C90" s="76"/>
      <c r="D90" s="841"/>
      <c r="E90" s="841"/>
      <c r="F90" s="841"/>
      <c r="G90" s="77"/>
      <c r="H90" s="77"/>
      <c r="I90" s="841"/>
      <c r="J90" s="841"/>
      <c r="K90" s="78"/>
      <c r="L90" s="77"/>
      <c r="M90" s="76"/>
      <c r="N90" s="841"/>
      <c r="O90" s="841"/>
      <c r="P90" s="77"/>
      <c r="Q90" s="77"/>
      <c r="R90" s="841"/>
      <c r="S90" s="841"/>
      <c r="T90" s="79"/>
      <c r="U90" s="78"/>
      <c r="V90" s="78"/>
    </row>
    <row r="91" spans="2:22">
      <c r="B91" s="76"/>
      <c r="C91" s="80"/>
      <c r="D91" s="81"/>
      <c r="E91" s="81"/>
      <c r="F91" s="81"/>
      <c r="G91" s="81"/>
      <c r="H91" s="81"/>
      <c r="I91" s="81"/>
      <c r="J91" s="81"/>
      <c r="K91" s="82"/>
      <c r="L91" s="77"/>
      <c r="M91" s="80"/>
      <c r="N91" s="81"/>
      <c r="O91" s="81"/>
      <c r="P91" s="81"/>
      <c r="Q91" s="81"/>
      <c r="R91" s="81"/>
      <c r="S91" s="81"/>
      <c r="T91" s="81"/>
      <c r="U91" s="82"/>
      <c r="V91" s="78"/>
    </row>
    <row r="92" spans="2:22">
      <c r="B92" s="76"/>
      <c r="C92" s="77"/>
      <c r="D92" s="77"/>
      <c r="E92" s="77"/>
      <c r="F92" s="77"/>
      <c r="G92" s="77"/>
      <c r="H92" s="77"/>
      <c r="I92" s="77"/>
      <c r="J92" s="77"/>
      <c r="K92" s="77"/>
      <c r="L92" s="77"/>
      <c r="M92" s="77"/>
      <c r="N92" s="77"/>
      <c r="O92" s="77"/>
      <c r="P92" s="77"/>
      <c r="Q92" s="77"/>
      <c r="R92" s="77"/>
      <c r="S92" s="77"/>
      <c r="T92" s="77"/>
      <c r="U92" s="77"/>
      <c r="V92" s="78"/>
    </row>
    <row r="93" spans="2:22">
      <c r="B93" s="76"/>
      <c r="C93" s="77" t="s">
        <v>405</v>
      </c>
      <c r="D93" s="77"/>
      <c r="E93" s="77"/>
      <c r="F93" s="77"/>
      <c r="G93" s="77"/>
      <c r="H93" s="77"/>
      <c r="I93" s="77"/>
      <c r="J93" s="77"/>
      <c r="K93" s="77"/>
      <c r="L93" s="77"/>
      <c r="M93" s="77" t="s">
        <v>406</v>
      </c>
      <c r="N93" s="77"/>
      <c r="O93" s="77"/>
      <c r="P93" s="77"/>
      <c r="Q93" s="77"/>
      <c r="R93" s="77"/>
      <c r="S93" s="77"/>
      <c r="T93" s="77"/>
      <c r="U93" s="77"/>
      <c r="V93" s="78"/>
    </row>
    <row r="94" spans="2:22">
      <c r="B94" s="76"/>
      <c r="C94" s="73"/>
      <c r="D94" s="74"/>
      <c r="E94" s="74"/>
      <c r="F94" s="74"/>
      <c r="G94" s="74"/>
      <c r="H94" s="74"/>
      <c r="I94" s="74"/>
      <c r="J94" s="74"/>
      <c r="K94" s="75"/>
      <c r="L94" s="77"/>
      <c r="M94" s="73"/>
      <c r="N94" s="74"/>
      <c r="O94" s="74"/>
      <c r="P94" s="74"/>
      <c r="Q94" s="74"/>
      <c r="R94" s="74"/>
      <c r="S94" s="74"/>
      <c r="T94" s="74"/>
      <c r="U94" s="75"/>
      <c r="V94" s="78"/>
    </row>
    <row r="95" spans="2:22">
      <c r="B95" s="76"/>
      <c r="C95" s="76"/>
      <c r="D95" s="841"/>
      <c r="E95" s="841"/>
      <c r="F95" s="841"/>
      <c r="G95" s="77"/>
      <c r="H95" s="77"/>
      <c r="I95" s="841"/>
      <c r="J95" s="841"/>
      <c r="K95" s="78"/>
      <c r="L95" s="77"/>
      <c r="M95" s="76"/>
      <c r="N95" s="841"/>
      <c r="O95" s="841"/>
      <c r="P95" s="77"/>
      <c r="Q95" s="77"/>
      <c r="R95" s="841"/>
      <c r="S95" s="841"/>
      <c r="T95" s="79"/>
      <c r="U95" s="78"/>
      <c r="V95" s="78"/>
    </row>
    <row r="96" spans="2:22">
      <c r="B96" s="76"/>
      <c r="C96" s="76"/>
      <c r="D96" s="841"/>
      <c r="E96" s="841"/>
      <c r="F96" s="841"/>
      <c r="G96" s="77"/>
      <c r="H96" s="77"/>
      <c r="I96" s="841"/>
      <c r="J96" s="841"/>
      <c r="K96" s="78"/>
      <c r="L96" s="77"/>
      <c r="M96" s="76"/>
      <c r="N96" s="841"/>
      <c r="O96" s="841"/>
      <c r="P96" s="77"/>
      <c r="Q96" s="77"/>
      <c r="R96" s="841"/>
      <c r="S96" s="841"/>
      <c r="T96" s="79"/>
      <c r="U96" s="78"/>
      <c r="V96" s="78"/>
    </row>
    <row r="97" spans="2:22">
      <c r="B97" s="76"/>
      <c r="C97" s="76"/>
      <c r="D97" s="841"/>
      <c r="E97" s="841"/>
      <c r="F97" s="841"/>
      <c r="G97" s="77"/>
      <c r="H97" s="77"/>
      <c r="I97" s="841"/>
      <c r="J97" s="841"/>
      <c r="K97" s="78"/>
      <c r="L97" s="77"/>
      <c r="M97" s="76"/>
      <c r="N97" s="841"/>
      <c r="O97" s="841"/>
      <c r="P97" s="77"/>
      <c r="Q97" s="77"/>
      <c r="R97" s="841"/>
      <c r="S97" s="841"/>
      <c r="T97" s="79"/>
      <c r="U97" s="78"/>
      <c r="V97" s="78"/>
    </row>
    <row r="98" spans="2:22">
      <c r="B98" s="76"/>
      <c r="C98" s="76"/>
      <c r="D98" s="77"/>
      <c r="E98" s="77"/>
      <c r="F98" s="77"/>
      <c r="G98" s="77"/>
      <c r="H98" s="77"/>
      <c r="I98" s="77"/>
      <c r="J98" s="77"/>
      <c r="K98" s="78"/>
      <c r="L98" s="77"/>
      <c r="M98" s="76"/>
      <c r="N98" s="77"/>
      <c r="O98" s="77"/>
      <c r="P98" s="77"/>
      <c r="Q98" s="77"/>
      <c r="R98" s="77"/>
      <c r="S98" s="77"/>
      <c r="T98" s="77"/>
      <c r="U98" s="78"/>
      <c r="V98" s="78"/>
    </row>
    <row r="99" spans="2:22">
      <c r="B99" s="76"/>
      <c r="C99" s="76"/>
      <c r="D99" s="77"/>
      <c r="E99" s="77"/>
      <c r="F99" s="77"/>
      <c r="G99" s="77"/>
      <c r="H99" s="77"/>
      <c r="I99" s="77"/>
      <c r="J99" s="77"/>
      <c r="K99" s="78"/>
      <c r="L99" s="77"/>
      <c r="M99" s="76"/>
      <c r="N99" s="77"/>
      <c r="O99" s="77"/>
      <c r="P99" s="77"/>
      <c r="Q99" s="77"/>
      <c r="R99" s="77"/>
      <c r="S99" s="77"/>
      <c r="T99" s="77"/>
      <c r="U99" s="78"/>
      <c r="V99" s="78"/>
    </row>
    <row r="100" spans="2:22">
      <c r="B100" s="76"/>
      <c r="C100" s="76"/>
      <c r="D100" s="841"/>
      <c r="E100" s="841"/>
      <c r="F100" s="841"/>
      <c r="G100" s="77"/>
      <c r="H100" s="77"/>
      <c r="I100" s="841"/>
      <c r="J100" s="841"/>
      <c r="K100" s="78"/>
      <c r="L100" s="77"/>
      <c r="M100" s="76"/>
      <c r="N100" s="841"/>
      <c r="O100" s="841"/>
      <c r="P100" s="77"/>
      <c r="Q100" s="77"/>
      <c r="R100" s="841"/>
      <c r="S100" s="841"/>
      <c r="T100" s="79"/>
      <c r="U100" s="78"/>
      <c r="V100" s="78"/>
    </row>
    <row r="101" spans="2:22">
      <c r="B101" s="76"/>
      <c r="C101" s="76"/>
      <c r="D101" s="841"/>
      <c r="E101" s="841"/>
      <c r="F101" s="841"/>
      <c r="G101" s="77"/>
      <c r="H101" s="77"/>
      <c r="I101" s="841"/>
      <c r="J101" s="841"/>
      <c r="K101" s="78"/>
      <c r="L101" s="77"/>
      <c r="M101" s="76"/>
      <c r="N101" s="841"/>
      <c r="O101" s="841"/>
      <c r="P101" s="77"/>
      <c r="Q101" s="77"/>
      <c r="R101" s="841"/>
      <c r="S101" s="841"/>
      <c r="T101" s="79"/>
      <c r="U101" s="78"/>
      <c r="V101" s="78"/>
    </row>
    <row r="102" spans="2:22">
      <c r="B102" s="76"/>
      <c r="C102" s="76"/>
      <c r="D102" s="841"/>
      <c r="E102" s="841"/>
      <c r="F102" s="841"/>
      <c r="G102" s="77"/>
      <c r="H102" s="77"/>
      <c r="I102" s="841"/>
      <c r="J102" s="841"/>
      <c r="K102" s="78"/>
      <c r="L102" s="77"/>
      <c r="M102" s="76"/>
      <c r="N102" s="841"/>
      <c r="O102" s="841"/>
      <c r="P102" s="77"/>
      <c r="Q102" s="77"/>
      <c r="R102" s="841"/>
      <c r="S102" s="841"/>
      <c r="T102" s="79"/>
      <c r="U102" s="78"/>
      <c r="V102" s="78"/>
    </row>
    <row r="103" spans="2:22">
      <c r="B103" s="76"/>
      <c r="C103" s="80"/>
      <c r="D103" s="81"/>
      <c r="E103" s="81"/>
      <c r="F103" s="81"/>
      <c r="G103" s="81"/>
      <c r="H103" s="81"/>
      <c r="I103" s="81"/>
      <c r="J103" s="81"/>
      <c r="K103" s="82"/>
      <c r="L103" s="77"/>
      <c r="M103" s="80"/>
      <c r="N103" s="81"/>
      <c r="O103" s="81"/>
      <c r="P103" s="81"/>
      <c r="Q103" s="81"/>
      <c r="R103" s="81"/>
      <c r="S103" s="81"/>
      <c r="T103" s="81"/>
      <c r="U103" s="82"/>
      <c r="V103" s="78"/>
    </row>
    <row r="104" spans="2:22">
      <c r="B104" s="76"/>
      <c r="C104" s="77"/>
      <c r="D104" s="77"/>
      <c r="E104" s="77"/>
      <c r="F104" s="77"/>
      <c r="G104" s="77"/>
      <c r="H104" s="77"/>
      <c r="I104" s="77"/>
      <c r="J104" s="77"/>
      <c r="K104" s="77"/>
      <c r="L104" s="77"/>
      <c r="M104" s="77"/>
      <c r="N104" s="77"/>
      <c r="O104" s="77"/>
      <c r="P104" s="77"/>
      <c r="Q104" s="77"/>
      <c r="R104" s="77"/>
      <c r="S104" s="77"/>
      <c r="T104" s="77"/>
      <c r="U104" s="77"/>
      <c r="V104" s="78"/>
    </row>
    <row r="105" spans="2:22">
      <c r="B105" s="80"/>
      <c r="C105" s="81"/>
      <c r="D105" s="81"/>
      <c r="E105" s="81"/>
      <c r="F105" s="81"/>
      <c r="G105" s="81"/>
      <c r="H105" s="81"/>
      <c r="I105" s="81"/>
      <c r="J105" s="81"/>
      <c r="K105" s="81"/>
      <c r="L105" s="81"/>
      <c r="M105" s="81"/>
      <c r="N105" s="81"/>
      <c r="O105" s="81"/>
      <c r="P105" s="81"/>
      <c r="Q105" s="81"/>
      <c r="R105" s="81"/>
      <c r="S105" s="81"/>
      <c r="T105" s="81"/>
      <c r="U105" s="81"/>
      <c r="V105" s="82"/>
    </row>
  </sheetData>
  <mergeCells count="58">
    <mergeCell ref="D63:F65"/>
    <mergeCell ref="D69:F71"/>
    <mergeCell ref="D44:F46"/>
    <mergeCell ref="D51:F53"/>
    <mergeCell ref="D54:F56"/>
    <mergeCell ref="C41:K42"/>
    <mergeCell ref="M36:V37"/>
    <mergeCell ref="N23:P25"/>
    <mergeCell ref="R23:T25"/>
    <mergeCell ref="D100:F102"/>
    <mergeCell ref="I100:J102"/>
    <mergeCell ref="N100:O102"/>
    <mergeCell ref="R100:S102"/>
    <mergeCell ref="D83:F85"/>
    <mergeCell ref="I83:J85"/>
    <mergeCell ref="N83:O85"/>
    <mergeCell ref="R83:S85"/>
    <mergeCell ref="D88:F90"/>
    <mergeCell ref="I88:J90"/>
    <mergeCell ref="N88:O90"/>
    <mergeCell ref="R88:S90"/>
    <mergeCell ref="D95:F97"/>
    <mergeCell ref="I95:J97"/>
    <mergeCell ref="N95:O97"/>
    <mergeCell ref="R95:S97"/>
    <mergeCell ref="N30:P32"/>
    <mergeCell ref="R30:T32"/>
    <mergeCell ref="N54:Q56"/>
    <mergeCell ref="R54:U56"/>
    <mergeCell ref="M41:U42"/>
    <mergeCell ref="C60:K61"/>
    <mergeCell ref="M60:U61"/>
    <mergeCell ref="D47:F49"/>
    <mergeCell ref="H54:J56"/>
    <mergeCell ref="N51:P53"/>
    <mergeCell ref="R51:T53"/>
    <mergeCell ref="N44:P46"/>
    <mergeCell ref="N27:P29"/>
    <mergeCell ref="R27:T29"/>
    <mergeCell ref="B1:V1"/>
    <mergeCell ref="B2:V3"/>
    <mergeCell ref="N20:P22"/>
    <mergeCell ref="R20:T22"/>
    <mergeCell ref="M18:V18"/>
    <mergeCell ref="H20:J22"/>
    <mergeCell ref="D20:F22"/>
    <mergeCell ref="R44:T46"/>
    <mergeCell ref="H47:J49"/>
    <mergeCell ref="H44:J46"/>
    <mergeCell ref="R47:U50"/>
    <mergeCell ref="N47:Q50"/>
    <mergeCell ref="H51:J53"/>
    <mergeCell ref="H63:J65"/>
    <mergeCell ref="H69:J71"/>
    <mergeCell ref="R63:T65"/>
    <mergeCell ref="R69:T71"/>
    <mergeCell ref="N63:P65"/>
    <mergeCell ref="N69:P7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E6B83-3E00-4EAE-A7B9-FDEF342CB2B5}">
  <sheetPr>
    <tabColor theme="9" tint="-0.499984740745262"/>
  </sheetPr>
  <dimension ref="B1:V34"/>
  <sheetViews>
    <sheetView topLeftCell="A45" workbookViewId="0">
      <selection activeCell="I53" sqref="I53"/>
    </sheetView>
  </sheetViews>
  <sheetFormatPr defaultRowHeight="13.9"/>
  <cols>
    <col min="1" max="1" width="4.28515625" customWidth="1"/>
  </cols>
  <sheetData>
    <row r="1" spans="2:22" ht="47.25" customHeight="1">
      <c r="B1" s="837" t="s">
        <v>374</v>
      </c>
      <c r="C1" s="837"/>
      <c r="D1" s="837"/>
      <c r="E1" s="837"/>
      <c r="F1" s="837"/>
      <c r="G1" s="837"/>
      <c r="H1" s="837"/>
      <c r="I1" s="837"/>
      <c r="J1" s="837"/>
      <c r="K1" s="837"/>
      <c r="L1" s="837"/>
      <c r="M1" s="837"/>
      <c r="N1" s="837"/>
      <c r="O1" s="837"/>
      <c r="P1" s="837"/>
      <c r="Q1" s="837"/>
      <c r="R1" s="837"/>
      <c r="S1" s="837"/>
      <c r="T1" s="837"/>
      <c r="U1" s="837"/>
      <c r="V1" s="837"/>
    </row>
    <row r="2" spans="2:22">
      <c r="B2" s="775" t="s">
        <v>375</v>
      </c>
      <c r="C2" s="775"/>
      <c r="D2" s="775"/>
      <c r="E2" s="775"/>
      <c r="F2" s="775"/>
      <c r="G2" s="775"/>
      <c r="H2" s="775"/>
      <c r="I2" s="775"/>
      <c r="J2" s="775"/>
      <c r="K2" s="775"/>
      <c r="L2" s="775"/>
      <c r="M2" s="775"/>
      <c r="N2" s="775"/>
      <c r="O2" s="775"/>
      <c r="P2" s="775"/>
      <c r="Q2" s="775"/>
      <c r="R2" s="775"/>
      <c r="S2" s="775"/>
      <c r="T2" s="775"/>
      <c r="U2" s="775"/>
      <c r="V2" s="775"/>
    </row>
    <row r="3" spans="2:22">
      <c r="B3" s="775"/>
      <c r="C3" s="775"/>
      <c r="D3" s="775"/>
      <c r="E3" s="775"/>
      <c r="F3" s="775"/>
      <c r="G3" s="775"/>
      <c r="H3" s="775"/>
      <c r="I3" s="775"/>
      <c r="J3" s="775"/>
      <c r="K3" s="775"/>
      <c r="L3" s="775"/>
      <c r="M3" s="775"/>
      <c r="N3" s="775"/>
      <c r="O3" s="775"/>
      <c r="P3" s="775"/>
      <c r="Q3" s="775"/>
      <c r="R3" s="775"/>
      <c r="S3" s="775"/>
      <c r="T3" s="775"/>
      <c r="U3" s="775"/>
      <c r="V3" s="775"/>
    </row>
    <row r="5" spans="2:22">
      <c r="B5" s="31" t="s">
        <v>376</v>
      </c>
    </row>
    <row r="6" spans="2:22">
      <c r="B6" s="31"/>
    </row>
    <row r="7" spans="2:22">
      <c r="B7" s="31" t="s">
        <v>377</v>
      </c>
    </row>
    <row r="8" spans="2:22">
      <c r="B8" s="31" t="s">
        <v>378</v>
      </c>
    </row>
    <row r="9" spans="2:22">
      <c r="B9" t="s">
        <v>379</v>
      </c>
    </row>
    <row r="10" spans="2:22">
      <c r="B10" t="s">
        <v>380</v>
      </c>
    </row>
    <row r="11" spans="2:22">
      <c r="B11" t="s">
        <v>381</v>
      </c>
    </row>
    <row r="13" spans="2:22">
      <c r="B13" s="32" t="s">
        <v>417</v>
      </c>
    </row>
    <row r="14" spans="2:22" ht="15" customHeight="1">
      <c r="B14" s="838" t="s">
        <v>418</v>
      </c>
      <c r="C14" s="838"/>
      <c r="D14" s="838"/>
      <c r="E14" s="838"/>
      <c r="F14" s="838"/>
      <c r="G14" s="838"/>
      <c r="H14" s="838"/>
      <c r="I14" s="838"/>
      <c r="J14" s="838"/>
      <c r="K14" s="838"/>
      <c r="L14" s="838"/>
      <c r="M14" s="838"/>
      <c r="N14" s="838"/>
      <c r="O14" s="838"/>
      <c r="P14" s="838"/>
      <c r="Q14" s="838"/>
    </row>
    <row r="15" spans="2:22">
      <c r="B15" s="838"/>
      <c r="C15" s="838"/>
      <c r="D15" s="838"/>
      <c r="E15" s="838"/>
      <c r="F15" s="838"/>
      <c r="G15" s="838"/>
      <c r="H15" s="838"/>
      <c r="I15" s="838"/>
      <c r="J15" s="838"/>
      <c r="K15" s="838"/>
      <c r="L15" s="838"/>
      <c r="M15" s="838"/>
      <c r="N15" s="838"/>
      <c r="O15" s="838"/>
      <c r="P15" s="838"/>
      <c r="Q15" s="838"/>
    </row>
    <row r="33" spans="2:18" ht="15" customHeight="1">
      <c r="B33" s="838" t="s">
        <v>419</v>
      </c>
      <c r="C33" s="838"/>
      <c r="D33" s="838"/>
      <c r="E33" s="838"/>
      <c r="F33" s="838"/>
      <c r="G33" s="838"/>
      <c r="H33" s="838"/>
      <c r="I33" s="838"/>
      <c r="J33" s="838"/>
      <c r="K33" s="838"/>
      <c r="L33" s="838"/>
      <c r="M33" s="838"/>
      <c r="N33" s="838"/>
      <c r="O33" s="838"/>
      <c r="P33" s="838"/>
      <c r="Q33" s="838"/>
      <c r="R33" s="838"/>
    </row>
    <row r="34" spans="2:18">
      <c r="B34" s="838"/>
      <c r="C34" s="838"/>
      <c r="D34" s="838"/>
      <c r="E34" s="838"/>
      <c r="F34" s="838"/>
      <c r="G34" s="838"/>
      <c r="H34" s="838"/>
      <c r="I34" s="838"/>
      <c r="J34" s="838"/>
      <c r="K34" s="838"/>
      <c r="L34" s="838"/>
      <c r="M34" s="838"/>
      <c r="N34" s="838"/>
      <c r="O34" s="838"/>
      <c r="P34" s="838"/>
      <c r="Q34" s="838"/>
      <c r="R34" s="838"/>
    </row>
  </sheetData>
  <mergeCells count="4">
    <mergeCell ref="B33:R34"/>
    <mergeCell ref="B14:Q15"/>
    <mergeCell ref="B1:V1"/>
    <mergeCell ref="B2:V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1255F-68FF-4279-9BA4-FF002504D7ED}">
  <sheetPr>
    <tabColor theme="9" tint="-0.499984740745262"/>
  </sheetPr>
  <dimension ref="B1:L1048570"/>
  <sheetViews>
    <sheetView topLeftCell="A69" workbookViewId="0">
      <selection activeCell="D52" sqref="D52:E61"/>
    </sheetView>
  </sheetViews>
  <sheetFormatPr defaultRowHeight="13.9"/>
  <cols>
    <col min="1" max="1" width="2.28515625" customWidth="1"/>
    <col min="2" max="2" width="18.42578125" customWidth="1"/>
    <col min="3" max="3" width="11.140625" customWidth="1"/>
    <col min="4" max="4" width="28.7109375" customWidth="1"/>
    <col min="5" max="5" width="26.7109375" customWidth="1"/>
    <col min="6" max="7" width="18.42578125" customWidth="1"/>
    <col min="8" max="8" width="22.7109375" customWidth="1"/>
    <col min="9" max="10" width="18.42578125" customWidth="1"/>
    <col min="11" max="11" width="22" customWidth="1"/>
    <col min="12" max="12" width="41.7109375" customWidth="1"/>
    <col min="13" max="16" width="18.42578125" customWidth="1"/>
  </cols>
  <sheetData>
    <row r="1" spans="2:12" ht="36" customHeight="1">
      <c r="B1" s="867" t="s">
        <v>420</v>
      </c>
      <c r="C1" s="867"/>
      <c r="D1" s="867"/>
      <c r="E1" s="867"/>
      <c r="F1" s="867"/>
      <c r="G1" s="867"/>
      <c r="H1" s="867"/>
      <c r="I1" s="867"/>
      <c r="J1" s="867"/>
      <c r="K1" s="867"/>
    </row>
    <row r="2" spans="2:12">
      <c r="B2" s="68" t="s">
        <v>421</v>
      </c>
      <c r="C2" s="69" t="s">
        <v>422</v>
      </c>
      <c r="D2" s="72" t="s">
        <v>423</v>
      </c>
      <c r="E2" s="70"/>
      <c r="F2" s="69" t="s">
        <v>424</v>
      </c>
      <c r="G2" s="83"/>
      <c r="H2" s="83" t="s">
        <v>425</v>
      </c>
      <c r="I2" s="71" t="s">
        <v>345</v>
      </c>
      <c r="J2" s="868" t="s">
        <v>426</v>
      </c>
      <c r="K2" s="869"/>
      <c r="L2" s="83" t="s">
        <v>427</v>
      </c>
    </row>
    <row r="3" spans="2:12" s="14" customFormat="1">
      <c r="B3" s="894">
        <v>1</v>
      </c>
      <c r="C3" s="897">
        <v>1</v>
      </c>
      <c r="D3" s="1085" t="s">
        <v>428</v>
      </c>
      <c r="E3" s="1086"/>
      <c r="F3" s="89">
        <f>SUM(F4:F7)</f>
        <v>44</v>
      </c>
      <c r="G3" s="89"/>
      <c r="H3" s="16"/>
      <c r="I3" s="16" t="s">
        <v>1</v>
      </c>
      <c r="J3" s="874"/>
      <c r="K3" s="875"/>
      <c r="L3" s="85"/>
    </row>
    <row r="4" spans="2:12" s="14" customFormat="1">
      <c r="B4" s="895"/>
      <c r="C4" s="898"/>
      <c r="D4" s="1087" t="s">
        <v>429</v>
      </c>
      <c r="E4" s="1088"/>
      <c r="F4" s="16">
        <v>4</v>
      </c>
      <c r="G4" s="16"/>
      <c r="H4" s="16" t="s">
        <v>430</v>
      </c>
      <c r="I4" s="16" t="s">
        <v>1</v>
      </c>
      <c r="J4" s="90"/>
      <c r="K4" s="91"/>
      <c r="L4" s="85"/>
    </row>
    <row r="5" spans="2:12">
      <c r="B5" s="895"/>
      <c r="C5" s="898"/>
      <c r="D5" s="1087" t="s">
        <v>431</v>
      </c>
      <c r="E5" s="1088"/>
      <c r="F5" s="16">
        <v>4</v>
      </c>
      <c r="G5" s="16"/>
      <c r="H5" s="16" t="s">
        <v>430</v>
      </c>
      <c r="I5" s="16" t="s">
        <v>1</v>
      </c>
      <c r="J5" s="874"/>
      <c r="K5" s="875"/>
      <c r="L5" s="85"/>
    </row>
    <row r="6" spans="2:12">
      <c r="B6" s="895"/>
      <c r="C6" s="898"/>
      <c r="D6" s="1087" t="s">
        <v>432</v>
      </c>
      <c r="E6" s="1088"/>
      <c r="F6" s="16">
        <v>6</v>
      </c>
      <c r="G6" s="16"/>
      <c r="H6" s="16" t="s">
        <v>430</v>
      </c>
      <c r="I6" s="16" t="s">
        <v>1</v>
      </c>
      <c r="J6" s="874"/>
      <c r="K6" s="875"/>
      <c r="L6" s="85"/>
    </row>
    <row r="7" spans="2:12">
      <c r="B7" s="895"/>
      <c r="C7" s="899"/>
      <c r="D7" s="1087" t="s">
        <v>433</v>
      </c>
      <c r="E7" s="1088"/>
      <c r="F7" s="16">
        <v>30</v>
      </c>
      <c r="G7" s="16"/>
      <c r="H7" s="16" t="s">
        <v>430</v>
      </c>
      <c r="I7" s="16" t="s">
        <v>1</v>
      </c>
      <c r="J7" s="874"/>
      <c r="K7" s="875"/>
      <c r="L7" s="85"/>
    </row>
    <row r="8" spans="2:12">
      <c r="B8" s="895"/>
      <c r="C8" s="878">
        <v>2</v>
      </c>
      <c r="D8" s="876" t="s">
        <v>434</v>
      </c>
      <c r="E8" s="877"/>
      <c r="F8" s="89">
        <f>SUM(F9:F13)</f>
        <v>40</v>
      </c>
      <c r="G8" s="89"/>
      <c r="H8" s="16"/>
      <c r="I8" s="16" t="s">
        <v>1</v>
      </c>
      <c r="J8" s="90"/>
      <c r="K8" s="91"/>
      <c r="L8" s="85"/>
    </row>
    <row r="9" spans="2:12">
      <c r="B9" s="895"/>
      <c r="C9" s="879"/>
      <c r="D9" s="1087" t="s">
        <v>433</v>
      </c>
      <c r="E9" s="1088"/>
      <c r="F9" s="16">
        <v>10</v>
      </c>
      <c r="G9" s="16"/>
      <c r="H9" s="16" t="s">
        <v>430</v>
      </c>
      <c r="I9" s="16" t="s">
        <v>1</v>
      </c>
      <c r="J9" s="90"/>
      <c r="K9" s="91"/>
      <c r="L9" s="85"/>
    </row>
    <row r="10" spans="2:12">
      <c r="B10" s="895"/>
      <c r="C10" s="879"/>
      <c r="D10" s="1087" t="s">
        <v>435</v>
      </c>
      <c r="E10" s="1088"/>
      <c r="F10" s="16">
        <v>14</v>
      </c>
      <c r="G10" s="16"/>
      <c r="H10" s="16" t="s">
        <v>430</v>
      </c>
      <c r="I10" s="16" t="s">
        <v>1</v>
      </c>
      <c r="J10" s="874"/>
      <c r="K10" s="875"/>
      <c r="L10" s="85"/>
    </row>
    <row r="11" spans="2:12">
      <c r="B11" s="895"/>
      <c r="C11" s="879"/>
      <c r="D11" s="1087" t="s">
        <v>436</v>
      </c>
      <c r="E11" s="1088"/>
      <c r="F11" s="16">
        <v>8</v>
      </c>
      <c r="G11" s="16"/>
      <c r="H11" s="16" t="s">
        <v>430</v>
      </c>
      <c r="I11" s="16" t="s">
        <v>1</v>
      </c>
      <c r="J11" s="874"/>
      <c r="K11" s="875"/>
      <c r="L11" s="85"/>
    </row>
    <row r="12" spans="2:12">
      <c r="B12" s="895"/>
      <c r="C12" s="879"/>
      <c r="D12" s="1087" t="s">
        <v>437</v>
      </c>
      <c r="E12" s="1088"/>
      <c r="F12" s="16">
        <v>4</v>
      </c>
      <c r="G12" s="16"/>
      <c r="H12" s="16" t="s">
        <v>430</v>
      </c>
      <c r="I12" s="16" t="s">
        <v>1</v>
      </c>
      <c r="J12" s="874"/>
      <c r="K12" s="875"/>
      <c r="L12" s="85"/>
    </row>
    <row r="13" spans="2:12">
      <c r="B13" s="895"/>
      <c r="C13" s="879"/>
      <c r="D13" s="1089" t="s">
        <v>438</v>
      </c>
      <c r="E13" s="1090"/>
      <c r="F13" s="16">
        <v>4</v>
      </c>
      <c r="G13" s="16"/>
      <c r="H13" s="16" t="s">
        <v>430</v>
      </c>
      <c r="I13" s="16" t="s">
        <v>1</v>
      </c>
      <c r="J13" s="880" t="s">
        <v>439</v>
      </c>
      <c r="K13" s="881"/>
      <c r="L13" s="85"/>
    </row>
    <row r="14" spans="2:12">
      <c r="B14" s="896"/>
      <c r="C14" s="109" t="s">
        <v>440</v>
      </c>
      <c r="D14" s="1091" t="s">
        <v>441</v>
      </c>
      <c r="E14" s="1088"/>
      <c r="F14" s="29">
        <v>4</v>
      </c>
      <c r="G14" s="29"/>
      <c r="H14" s="29" t="s">
        <v>442</v>
      </c>
      <c r="I14" s="16" t="s">
        <v>1</v>
      </c>
      <c r="J14" s="872" t="s">
        <v>443</v>
      </c>
      <c r="K14" s="873"/>
      <c r="L14" s="85"/>
    </row>
    <row r="15" spans="2:12">
      <c r="B15" s="896"/>
      <c r="C15" s="109" t="s">
        <v>444</v>
      </c>
      <c r="D15" s="1091" t="s">
        <v>445</v>
      </c>
      <c r="E15" s="1088"/>
      <c r="F15" s="29">
        <v>4</v>
      </c>
      <c r="G15" s="29"/>
      <c r="H15" s="29" t="s">
        <v>442</v>
      </c>
      <c r="I15" s="16" t="s">
        <v>1</v>
      </c>
      <c r="J15" s="872" t="s">
        <v>446</v>
      </c>
      <c r="K15" s="873"/>
      <c r="L15" s="85"/>
    </row>
    <row r="16" spans="2:12">
      <c r="B16" s="896"/>
      <c r="C16" s="109" t="s">
        <v>447</v>
      </c>
      <c r="D16" s="1091" t="s">
        <v>448</v>
      </c>
      <c r="E16" s="1088"/>
      <c r="F16" s="29">
        <v>4</v>
      </c>
      <c r="G16" s="29"/>
      <c r="H16" s="29" t="s">
        <v>442</v>
      </c>
      <c r="I16" s="16" t="s">
        <v>1</v>
      </c>
      <c r="J16" s="872" t="s">
        <v>449</v>
      </c>
      <c r="K16" s="873"/>
      <c r="L16" s="85"/>
    </row>
    <row r="17" spans="2:12">
      <c r="B17" s="896"/>
      <c r="C17" s="109" t="s">
        <v>450</v>
      </c>
      <c r="D17" s="1091" t="s">
        <v>451</v>
      </c>
      <c r="E17" s="1088"/>
      <c r="F17" s="29">
        <v>4</v>
      </c>
      <c r="G17" s="29"/>
      <c r="H17" s="29" t="s">
        <v>442</v>
      </c>
      <c r="I17" s="16" t="s">
        <v>2</v>
      </c>
      <c r="J17" s="872" t="s">
        <v>452</v>
      </c>
      <c r="K17" s="873"/>
      <c r="L17" s="85"/>
    </row>
    <row r="18" spans="2:12">
      <c r="B18" s="896"/>
      <c r="C18" s="109" t="s">
        <v>453</v>
      </c>
      <c r="D18" s="900" t="s">
        <v>454</v>
      </c>
      <c r="E18" s="901"/>
      <c r="F18" s="29">
        <v>4</v>
      </c>
      <c r="G18" s="29"/>
      <c r="H18" s="29" t="s">
        <v>442</v>
      </c>
      <c r="I18" s="16" t="s">
        <v>0</v>
      </c>
      <c r="J18" s="872" t="s">
        <v>455</v>
      </c>
      <c r="K18" s="873"/>
      <c r="L18" s="85"/>
    </row>
    <row r="19" spans="2:12">
      <c r="B19" s="896"/>
      <c r="C19" s="110" t="s">
        <v>456</v>
      </c>
      <c r="D19" s="1091" t="s">
        <v>457</v>
      </c>
      <c r="E19" s="1088"/>
      <c r="F19" s="29">
        <v>4</v>
      </c>
      <c r="G19" s="29"/>
      <c r="H19" s="29" t="s">
        <v>442</v>
      </c>
      <c r="I19" s="16" t="s">
        <v>0</v>
      </c>
      <c r="J19" s="872" t="s">
        <v>455</v>
      </c>
      <c r="K19" s="873"/>
      <c r="L19" s="85"/>
    </row>
    <row r="20" spans="2:12">
      <c r="B20" s="896"/>
      <c r="C20" s="109"/>
      <c r="D20" s="1092" t="s">
        <v>458</v>
      </c>
      <c r="E20" s="1086"/>
      <c r="F20" s="86">
        <f>SUM(F21:F30)</f>
        <v>40</v>
      </c>
      <c r="G20" s="86"/>
      <c r="H20" s="86"/>
      <c r="I20" s="16" t="s">
        <v>0</v>
      </c>
      <c r="J20" s="880" t="s">
        <v>439</v>
      </c>
      <c r="K20" s="881"/>
      <c r="L20" s="85"/>
    </row>
    <row r="21" spans="2:12">
      <c r="B21" s="896"/>
      <c r="C21" s="109" t="s">
        <v>459</v>
      </c>
      <c r="D21" s="870" t="s">
        <v>460</v>
      </c>
      <c r="E21" s="871"/>
      <c r="F21" s="29">
        <v>4</v>
      </c>
      <c r="G21" s="114">
        <v>45628</v>
      </c>
      <c r="H21" s="29" t="s">
        <v>442</v>
      </c>
      <c r="I21" s="16" t="s">
        <v>0</v>
      </c>
      <c r="J21" s="872" t="s">
        <v>455</v>
      </c>
      <c r="K21" s="873"/>
      <c r="L21" s="85"/>
    </row>
    <row r="22" spans="2:12">
      <c r="B22" s="896"/>
      <c r="C22" s="109" t="s">
        <v>461</v>
      </c>
      <c r="D22" s="870" t="s">
        <v>462</v>
      </c>
      <c r="E22" s="871"/>
      <c r="F22" s="29">
        <v>4</v>
      </c>
      <c r="G22" s="114">
        <v>45628</v>
      </c>
      <c r="H22" s="29" t="s">
        <v>442</v>
      </c>
      <c r="I22" s="16" t="s">
        <v>0</v>
      </c>
      <c r="J22" s="872" t="s">
        <v>455</v>
      </c>
      <c r="K22" s="873"/>
      <c r="L22" s="85"/>
    </row>
    <row r="23" spans="2:12">
      <c r="B23" s="896"/>
      <c r="C23" s="109" t="s">
        <v>463</v>
      </c>
      <c r="D23" s="870" t="s">
        <v>464</v>
      </c>
      <c r="E23" s="871"/>
      <c r="F23" s="29">
        <v>4</v>
      </c>
      <c r="G23" s="114">
        <v>45629</v>
      </c>
      <c r="H23" s="29" t="s">
        <v>442</v>
      </c>
      <c r="I23" s="16" t="s">
        <v>0</v>
      </c>
      <c r="J23" s="872" t="s">
        <v>455</v>
      </c>
      <c r="K23" s="873"/>
      <c r="L23" s="85"/>
    </row>
    <row r="24" spans="2:12">
      <c r="B24" s="896"/>
      <c r="C24" s="109" t="s">
        <v>465</v>
      </c>
      <c r="D24" s="870" t="s">
        <v>466</v>
      </c>
      <c r="E24" s="871"/>
      <c r="F24" s="29">
        <v>4</v>
      </c>
      <c r="G24" s="114">
        <v>45629</v>
      </c>
      <c r="H24" s="29" t="s">
        <v>442</v>
      </c>
      <c r="I24" s="16" t="s">
        <v>0</v>
      </c>
      <c r="J24" s="872" t="s">
        <v>455</v>
      </c>
      <c r="K24" s="873"/>
      <c r="L24" s="85"/>
    </row>
    <row r="25" spans="2:12">
      <c r="B25" s="896"/>
      <c r="C25" s="109" t="s">
        <v>467</v>
      </c>
      <c r="D25" s="870" t="s">
        <v>468</v>
      </c>
      <c r="E25" s="871"/>
      <c r="F25" s="29">
        <v>4</v>
      </c>
      <c r="G25" s="114">
        <v>45630</v>
      </c>
      <c r="H25" s="29" t="s">
        <v>442</v>
      </c>
      <c r="I25" s="16" t="s">
        <v>0</v>
      </c>
      <c r="J25" s="872" t="s">
        <v>455</v>
      </c>
      <c r="K25" s="873"/>
      <c r="L25" s="85"/>
    </row>
    <row r="26" spans="2:12">
      <c r="B26" s="896"/>
      <c r="C26" s="109" t="s">
        <v>469</v>
      </c>
      <c r="D26" s="870" t="s">
        <v>470</v>
      </c>
      <c r="E26" s="871"/>
      <c r="F26" s="29">
        <v>4</v>
      </c>
      <c r="G26" s="114">
        <v>45630</v>
      </c>
      <c r="H26" s="29" t="s">
        <v>442</v>
      </c>
      <c r="I26" s="16" t="s">
        <v>0</v>
      </c>
      <c r="J26" s="872" t="s">
        <v>455</v>
      </c>
      <c r="K26" s="873"/>
      <c r="L26" s="85"/>
    </row>
    <row r="27" spans="2:12">
      <c r="B27" s="896"/>
      <c r="C27" s="109" t="s">
        <v>471</v>
      </c>
      <c r="D27" s="870" t="s">
        <v>472</v>
      </c>
      <c r="E27" s="871"/>
      <c r="F27" s="29">
        <v>4</v>
      </c>
      <c r="G27" s="114">
        <v>45631</v>
      </c>
      <c r="H27" s="29" t="s">
        <v>442</v>
      </c>
      <c r="I27" s="16" t="s">
        <v>0</v>
      </c>
      <c r="J27" s="872" t="s">
        <v>455</v>
      </c>
      <c r="K27" s="873"/>
      <c r="L27" s="85"/>
    </row>
    <row r="28" spans="2:12">
      <c r="B28" s="896"/>
      <c r="C28" s="109" t="s">
        <v>473</v>
      </c>
      <c r="D28" s="870" t="s">
        <v>474</v>
      </c>
      <c r="E28" s="871"/>
      <c r="F28" s="29">
        <v>4</v>
      </c>
      <c r="G28" s="114">
        <v>45631</v>
      </c>
      <c r="H28" s="29" t="s">
        <v>442</v>
      </c>
      <c r="I28" s="16" t="s">
        <v>0</v>
      </c>
      <c r="J28" s="872" t="s">
        <v>455</v>
      </c>
      <c r="K28" s="873"/>
      <c r="L28" s="85"/>
    </row>
    <row r="29" spans="2:12">
      <c r="B29" s="896"/>
      <c r="C29" s="109" t="s">
        <v>475</v>
      </c>
      <c r="D29" s="870" t="s">
        <v>476</v>
      </c>
      <c r="E29" s="871"/>
      <c r="F29" s="29">
        <v>4</v>
      </c>
      <c r="G29" s="114">
        <v>45632</v>
      </c>
      <c r="H29" s="29" t="s">
        <v>442</v>
      </c>
      <c r="I29" s="16" t="s">
        <v>0</v>
      </c>
      <c r="J29" s="872" t="s">
        <v>455</v>
      </c>
      <c r="K29" s="873"/>
      <c r="L29" s="85"/>
    </row>
    <row r="30" spans="2:12">
      <c r="B30" s="896"/>
      <c r="C30" s="110" t="s">
        <v>477</v>
      </c>
      <c r="D30" s="95" t="s">
        <v>478</v>
      </c>
      <c r="E30" s="84"/>
      <c r="F30" s="29">
        <v>4</v>
      </c>
      <c r="G30" s="114">
        <v>45632</v>
      </c>
      <c r="H30" s="29" t="s">
        <v>442</v>
      </c>
      <c r="I30" s="16" t="s">
        <v>0</v>
      </c>
      <c r="J30" s="872" t="s">
        <v>455</v>
      </c>
      <c r="K30" s="873"/>
      <c r="L30" s="85"/>
    </row>
    <row r="31" spans="2:12">
      <c r="B31" s="896"/>
      <c r="C31" s="109"/>
      <c r="D31" s="1092" t="s">
        <v>479</v>
      </c>
      <c r="E31" s="1086"/>
      <c r="F31" s="86">
        <f>SUM(F32:F39)</f>
        <v>40</v>
      </c>
      <c r="G31" s="86"/>
      <c r="H31" s="86"/>
      <c r="I31" s="16" t="s">
        <v>0</v>
      </c>
      <c r="J31" s="880" t="s">
        <v>439</v>
      </c>
      <c r="K31" s="881"/>
      <c r="L31" s="85"/>
    </row>
    <row r="32" spans="2:12">
      <c r="B32" s="896"/>
      <c r="C32" s="109" t="s">
        <v>480</v>
      </c>
      <c r="D32" s="870" t="s">
        <v>481</v>
      </c>
      <c r="E32" s="871"/>
      <c r="F32" s="29">
        <v>6</v>
      </c>
      <c r="G32" s="29"/>
      <c r="H32" s="29" t="s">
        <v>482</v>
      </c>
      <c r="I32" s="16" t="s">
        <v>0</v>
      </c>
      <c r="J32" s="872" t="s">
        <v>455</v>
      </c>
      <c r="K32" s="873"/>
      <c r="L32" s="85"/>
    </row>
    <row r="33" spans="2:12">
      <c r="B33" s="896"/>
      <c r="C33" s="109" t="s">
        <v>483</v>
      </c>
      <c r="D33" s="870" t="s">
        <v>484</v>
      </c>
      <c r="E33" s="871"/>
      <c r="F33" s="29">
        <v>4</v>
      </c>
      <c r="G33" s="29"/>
      <c r="H33" s="29" t="s">
        <v>482</v>
      </c>
      <c r="I33" s="16" t="s">
        <v>0</v>
      </c>
      <c r="J33" s="872" t="s">
        <v>455</v>
      </c>
      <c r="K33" s="873"/>
      <c r="L33" s="85"/>
    </row>
    <row r="34" spans="2:12">
      <c r="B34" s="896"/>
      <c r="C34" s="109" t="s">
        <v>485</v>
      </c>
      <c r="D34" s="870" t="s">
        <v>486</v>
      </c>
      <c r="E34" s="871"/>
      <c r="F34" s="29">
        <v>6</v>
      </c>
      <c r="G34" s="29"/>
      <c r="H34" s="29" t="s">
        <v>482</v>
      </c>
      <c r="I34" s="16" t="s">
        <v>0</v>
      </c>
      <c r="J34" s="872" t="s">
        <v>455</v>
      </c>
      <c r="K34" s="873"/>
      <c r="L34" s="85"/>
    </row>
    <row r="35" spans="2:12">
      <c r="B35" s="896"/>
      <c r="C35" s="109" t="s">
        <v>487</v>
      </c>
      <c r="D35" s="870" t="s">
        <v>488</v>
      </c>
      <c r="E35" s="871"/>
      <c r="F35" s="29">
        <v>4</v>
      </c>
      <c r="G35" s="29"/>
      <c r="H35" s="29" t="s">
        <v>482</v>
      </c>
      <c r="I35" s="16" t="s">
        <v>0</v>
      </c>
      <c r="J35" s="872" t="s">
        <v>455</v>
      </c>
      <c r="K35" s="873"/>
      <c r="L35" s="85"/>
    </row>
    <row r="36" spans="2:12">
      <c r="B36" s="896"/>
      <c r="C36" s="109" t="s">
        <v>489</v>
      </c>
      <c r="D36" s="870" t="s">
        <v>490</v>
      </c>
      <c r="E36" s="871"/>
      <c r="F36" s="29">
        <v>4</v>
      </c>
      <c r="G36" s="29"/>
      <c r="H36" s="29" t="s">
        <v>482</v>
      </c>
      <c r="I36" s="16" t="s">
        <v>0</v>
      </c>
      <c r="J36" s="872" t="s">
        <v>455</v>
      </c>
      <c r="K36" s="873"/>
      <c r="L36" s="85"/>
    </row>
    <row r="37" spans="2:12">
      <c r="B37" s="896"/>
      <c r="C37" s="109" t="s">
        <v>491</v>
      </c>
      <c r="D37" s="870" t="s">
        <v>492</v>
      </c>
      <c r="E37" s="871"/>
      <c r="F37" s="29">
        <v>4</v>
      </c>
      <c r="G37" s="29"/>
      <c r="H37" s="29" t="s">
        <v>482</v>
      </c>
      <c r="I37" s="16" t="s">
        <v>0</v>
      </c>
      <c r="J37" s="872" t="s">
        <v>455</v>
      </c>
      <c r="K37" s="873"/>
      <c r="L37" s="85"/>
    </row>
    <row r="38" spans="2:12">
      <c r="B38" s="896"/>
      <c r="C38" s="109" t="s">
        <v>493</v>
      </c>
      <c r="D38" s="870" t="s">
        <v>494</v>
      </c>
      <c r="E38" s="871"/>
      <c r="F38" s="29">
        <v>6</v>
      </c>
      <c r="G38" s="29"/>
      <c r="H38" s="29" t="s">
        <v>482</v>
      </c>
      <c r="I38" s="16" t="s">
        <v>0</v>
      </c>
      <c r="J38" s="872" t="s">
        <v>455</v>
      </c>
      <c r="K38" s="873"/>
      <c r="L38" s="85"/>
    </row>
    <row r="39" spans="2:12">
      <c r="B39" s="896"/>
      <c r="C39" s="109" t="s">
        <v>495</v>
      </c>
      <c r="D39" s="870" t="s">
        <v>496</v>
      </c>
      <c r="E39" s="871"/>
      <c r="F39" s="29">
        <v>6</v>
      </c>
      <c r="G39" s="29"/>
      <c r="H39" s="29" t="s">
        <v>482</v>
      </c>
      <c r="I39" s="16" t="s">
        <v>0</v>
      </c>
      <c r="J39" s="872" t="s">
        <v>455</v>
      </c>
      <c r="K39" s="873"/>
      <c r="L39" s="92" t="s">
        <v>497</v>
      </c>
    </row>
    <row r="40" spans="2:12">
      <c r="B40" s="895"/>
      <c r="C40" s="111"/>
      <c r="D40" s="1092" t="s">
        <v>498</v>
      </c>
      <c r="E40" s="1086"/>
      <c r="F40" s="86">
        <f>SUM(F41:F50)</f>
        <v>40</v>
      </c>
      <c r="G40" s="86"/>
      <c r="H40" s="85"/>
      <c r="I40" s="60" t="s">
        <v>0</v>
      </c>
      <c r="J40" s="872" t="s">
        <v>439</v>
      </c>
      <c r="K40" s="873"/>
      <c r="L40" s="85"/>
    </row>
    <row r="41" spans="2:12">
      <c r="B41" s="896"/>
      <c r="C41" s="109" t="s">
        <v>499</v>
      </c>
      <c r="D41" s="56" t="s">
        <v>500</v>
      </c>
      <c r="E41" s="34"/>
      <c r="F41" s="29">
        <v>4</v>
      </c>
      <c r="G41" s="29"/>
      <c r="H41" s="29" t="s">
        <v>482</v>
      </c>
      <c r="I41" s="60" t="s">
        <v>0</v>
      </c>
      <c r="J41" s="872" t="s">
        <v>455</v>
      </c>
      <c r="K41" s="873"/>
      <c r="L41" s="85"/>
    </row>
    <row r="42" spans="2:12">
      <c r="B42" s="896"/>
      <c r="C42" s="109" t="s">
        <v>501</v>
      </c>
      <c r="D42" s="34" t="s">
        <v>502</v>
      </c>
      <c r="E42" s="26"/>
      <c r="F42" s="29">
        <v>4</v>
      </c>
      <c r="G42" s="29"/>
      <c r="H42" s="29" t="s">
        <v>482</v>
      </c>
      <c r="I42" s="60" t="s">
        <v>0</v>
      </c>
      <c r="J42" s="872" t="s">
        <v>455</v>
      </c>
      <c r="K42" s="873"/>
      <c r="L42" s="85"/>
    </row>
    <row r="43" spans="2:12">
      <c r="B43" s="896"/>
      <c r="C43" s="109" t="s">
        <v>503</v>
      </c>
      <c r="D43" s="34" t="s">
        <v>504</v>
      </c>
      <c r="E43" s="26"/>
      <c r="F43" s="29">
        <v>4</v>
      </c>
      <c r="G43" s="29"/>
      <c r="H43" s="29" t="s">
        <v>482</v>
      </c>
      <c r="I43" s="60" t="s">
        <v>0</v>
      </c>
      <c r="J43" s="872" t="s">
        <v>455</v>
      </c>
      <c r="K43" s="873"/>
      <c r="L43" s="85"/>
    </row>
    <row r="44" spans="2:12">
      <c r="B44" s="896"/>
      <c r="C44" s="109" t="s">
        <v>505</v>
      </c>
      <c r="D44" s="61" t="s">
        <v>506</v>
      </c>
      <c r="E44" s="59"/>
      <c r="F44" s="29">
        <v>4</v>
      </c>
      <c r="G44" s="29"/>
      <c r="H44" s="29" t="s">
        <v>482</v>
      </c>
      <c r="I44" s="60" t="s">
        <v>0</v>
      </c>
      <c r="J44" s="872" t="s">
        <v>455</v>
      </c>
      <c r="K44" s="873"/>
      <c r="L44" s="85"/>
    </row>
    <row r="45" spans="2:12">
      <c r="B45" s="896"/>
      <c r="C45" s="109" t="s">
        <v>507</v>
      </c>
      <c r="D45" s="62" t="s">
        <v>508</v>
      </c>
      <c r="E45" s="54"/>
      <c r="F45" s="29">
        <v>4</v>
      </c>
      <c r="G45" s="29"/>
      <c r="H45" s="29" t="s">
        <v>482</v>
      </c>
      <c r="I45" s="60" t="s">
        <v>0</v>
      </c>
      <c r="J45" s="872" t="s">
        <v>455</v>
      </c>
      <c r="K45" s="873"/>
      <c r="L45" s="85"/>
    </row>
    <row r="46" spans="2:12">
      <c r="B46" s="896"/>
      <c r="C46" s="109" t="s">
        <v>509</v>
      </c>
      <c r="D46" s="34" t="s">
        <v>510</v>
      </c>
      <c r="E46" s="26"/>
      <c r="F46" s="29">
        <v>4</v>
      </c>
      <c r="G46" s="29"/>
      <c r="H46" s="29" t="s">
        <v>482</v>
      </c>
      <c r="I46" s="60" t="s">
        <v>0</v>
      </c>
      <c r="J46" s="872" t="s">
        <v>455</v>
      </c>
      <c r="K46" s="873"/>
      <c r="L46" s="85"/>
    </row>
    <row r="47" spans="2:12" ht="14.25" customHeight="1">
      <c r="B47" s="896"/>
      <c r="C47" s="109" t="s">
        <v>511</v>
      </c>
      <c r="D47" s="34" t="s">
        <v>512</v>
      </c>
      <c r="E47" s="26"/>
      <c r="F47" s="29">
        <v>4</v>
      </c>
      <c r="G47" s="29"/>
      <c r="H47" s="29" t="s">
        <v>482</v>
      </c>
      <c r="I47" s="60" t="s">
        <v>0</v>
      </c>
      <c r="J47" s="872" t="s">
        <v>455</v>
      </c>
      <c r="K47" s="873"/>
      <c r="L47" s="85"/>
    </row>
    <row r="48" spans="2:12" ht="13.5" customHeight="1">
      <c r="B48" s="896"/>
      <c r="C48" s="109" t="s">
        <v>513</v>
      </c>
      <c r="D48" s="34" t="s">
        <v>514</v>
      </c>
      <c r="E48" s="26"/>
      <c r="F48" s="29">
        <v>4</v>
      </c>
      <c r="G48" s="29"/>
      <c r="H48" s="29" t="s">
        <v>482</v>
      </c>
      <c r="I48" s="60" t="s">
        <v>0</v>
      </c>
      <c r="J48" s="872" t="s">
        <v>455</v>
      </c>
      <c r="K48" s="873"/>
      <c r="L48" s="85"/>
    </row>
    <row r="49" spans="2:12" ht="13.5" customHeight="1">
      <c r="B49" s="896"/>
      <c r="C49" s="109" t="s">
        <v>515</v>
      </c>
      <c r="D49" s="34" t="s">
        <v>516</v>
      </c>
      <c r="E49" s="26"/>
      <c r="F49" s="29">
        <v>4</v>
      </c>
      <c r="G49" s="29"/>
      <c r="H49" s="29" t="s">
        <v>482</v>
      </c>
      <c r="I49" s="60" t="s">
        <v>0</v>
      </c>
      <c r="J49" s="872" t="s">
        <v>455</v>
      </c>
      <c r="K49" s="873"/>
      <c r="L49" s="85"/>
    </row>
    <row r="50" spans="2:12" ht="14.25" customHeight="1">
      <c r="B50" s="896"/>
      <c r="C50" s="112" t="s">
        <v>517</v>
      </c>
      <c r="D50" s="882" t="s">
        <v>518</v>
      </c>
      <c r="E50" s="883"/>
      <c r="F50" s="29">
        <v>4</v>
      </c>
      <c r="G50" s="29"/>
      <c r="H50" s="29" t="s">
        <v>482</v>
      </c>
      <c r="I50" s="60" t="s">
        <v>0</v>
      </c>
      <c r="J50" s="872" t="s">
        <v>455</v>
      </c>
      <c r="K50" s="873"/>
      <c r="L50" s="92"/>
    </row>
    <row r="51" spans="2:12">
      <c r="B51" s="895"/>
      <c r="C51" s="108"/>
      <c r="D51" s="1092" t="s">
        <v>519</v>
      </c>
      <c r="E51" s="1086"/>
      <c r="F51" s="86">
        <f>SUM(F52:F61)</f>
        <v>40</v>
      </c>
      <c r="G51" s="86"/>
      <c r="H51" s="29"/>
      <c r="I51" s="60" t="s">
        <v>0</v>
      </c>
      <c r="J51" s="880" t="s">
        <v>439</v>
      </c>
      <c r="K51" s="881"/>
      <c r="L51" s="85"/>
    </row>
    <row r="52" spans="2:12">
      <c r="B52" s="895"/>
      <c r="C52" s="109" t="s">
        <v>520</v>
      </c>
      <c r="D52" s="884" t="s">
        <v>521</v>
      </c>
      <c r="E52" s="883"/>
      <c r="F52" s="29">
        <v>4</v>
      </c>
      <c r="G52" s="29"/>
      <c r="H52" s="29" t="s">
        <v>482</v>
      </c>
      <c r="I52" s="60" t="s">
        <v>0</v>
      </c>
      <c r="J52" s="872" t="s">
        <v>455</v>
      </c>
      <c r="K52" s="873"/>
      <c r="L52" s="85"/>
    </row>
    <row r="53" spans="2:12">
      <c r="B53" s="895"/>
      <c r="C53" s="109" t="s">
        <v>522</v>
      </c>
      <c r="D53" s="884" t="s">
        <v>523</v>
      </c>
      <c r="E53" s="883"/>
      <c r="F53" s="29">
        <v>4</v>
      </c>
      <c r="G53" s="29"/>
      <c r="H53" s="29" t="s">
        <v>482</v>
      </c>
      <c r="I53" s="60" t="s">
        <v>0</v>
      </c>
      <c r="J53" s="872" t="s">
        <v>455</v>
      </c>
      <c r="K53" s="873"/>
      <c r="L53" s="85"/>
    </row>
    <row r="54" spans="2:12">
      <c r="B54" s="895"/>
      <c r="C54" s="109" t="s">
        <v>524</v>
      </c>
      <c r="D54" s="26" t="s">
        <v>525</v>
      </c>
      <c r="E54" s="26"/>
      <c r="F54" s="29">
        <v>4</v>
      </c>
      <c r="G54" s="29"/>
      <c r="H54" s="29" t="s">
        <v>482</v>
      </c>
      <c r="I54" s="60" t="s">
        <v>0</v>
      </c>
      <c r="J54" s="872" t="s">
        <v>455</v>
      </c>
      <c r="K54" s="873"/>
      <c r="L54" s="85"/>
    </row>
    <row r="55" spans="2:12">
      <c r="B55" s="895"/>
      <c r="C55" s="109" t="s">
        <v>526</v>
      </c>
      <c r="D55" s="33" t="s">
        <v>527</v>
      </c>
      <c r="E55" s="34"/>
      <c r="F55" s="29">
        <v>4</v>
      </c>
      <c r="G55" s="29"/>
      <c r="H55" s="29" t="s">
        <v>482</v>
      </c>
      <c r="I55" s="60" t="s">
        <v>0</v>
      </c>
      <c r="J55" s="872" t="s">
        <v>455</v>
      </c>
      <c r="K55" s="873"/>
      <c r="L55" s="85"/>
    </row>
    <row r="56" spans="2:12">
      <c r="B56" s="895"/>
      <c r="C56" s="109" t="s">
        <v>528</v>
      </c>
      <c r="D56" s="26" t="s">
        <v>529</v>
      </c>
      <c r="E56" s="26"/>
      <c r="F56" s="29">
        <v>4</v>
      </c>
      <c r="G56" s="29"/>
      <c r="H56" s="29" t="s">
        <v>482</v>
      </c>
      <c r="I56" s="60" t="s">
        <v>0</v>
      </c>
      <c r="J56" s="872" t="s">
        <v>455</v>
      </c>
      <c r="K56" s="873"/>
      <c r="L56" s="85"/>
    </row>
    <row r="57" spans="2:12">
      <c r="B57" s="895"/>
      <c r="C57" s="109" t="s">
        <v>530</v>
      </c>
      <c r="D57" s="33" t="s">
        <v>531</v>
      </c>
      <c r="E57" s="34"/>
      <c r="F57" s="29">
        <v>4</v>
      </c>
      <c r="G57" s="29"/>
      <c r="H57" s="29" t="s">
        <v>482</v>
      </c>
      <c r="I57" s="60" t="s">
        <v>0</v>
      </c>
      <c r="J57" s="872" t="s">
        <v>455</v>
      </c>
      <c r="K57" s="873"/>
      <c r="L57" s="85"/>
    </row>
    <row r="58" spans="2:12">
      <c r="B58" s="895"/>
      <c r="C58" s="109" t="s">
        <v>532</v>
      </c>
      <c r="D58" s="26" t="s">
        <v>533</v>
      </c>
      <c r="E58" s="26"/>
      <c r="F58" s="29">
        <v>4</v>
      </c>
      <c r="G58" s="29"/>
      <c r="H58" s="29" t="s">
        <v>482</v>
      </c>
      <c r="I58" s="60" t="s">
        <v>0</v>
      </c>
      <c r="J58" s="872" t="s">
        <v>455</v>
      </c>
      <c r="K58" s="873"/>
      <c r="L58" s="85"/>
    </row>
    <row r="59" spans="2:12">
      <c r="B59" s="895"/>
      <c r="C59" s="109" t="s">
        <v>534</v>
      </c>
      <c r="D59" s="26" t="s">
        <v>535</v>
      </c>
      <c r="E59" s="26"/>
      <c r="F59" s="29">
        <v>4</v>
      </c>
      <c r="G59" s="29"/>
      <c r="H59" s="29" t="s">
        <v>482</v>
      </c>
      <c r="I59" s="60" t="s">
        <v>0</v>
      </c>
      <c r="J59" s="872" t="s">
        <v>455</v>
      </c>
      <c r="K59" s="873"/>
      <c r="L59" s="85"/>
    </row>
    <row r="60" spans="2:12">
      <c r="B60" s="895"/>
      <c r="C60" s="109" t="s">
        <v>536</v>
      </c>
      <c r="D60" s="26" t="s">
        <v>537</v>
      </c>
      <c r="E60" s="26"/>
      <c r="F60" s="29">
        <v>4</v>
      </c>
      <c r="G60" s="29"/>
      <c r="H60" s="29" t="s">
        <v>482</v>
      </c>
      <c r="I60" s="60" t="s">
        <v>0</v>
      </c>
      <c r="J60" s="872" t="s">
        <v>455</v>
      </c>
      <c r="K60" s="873"/>
      <c r="L60" s="85"/>
    </row>
    <row r="61" spans="2:12">
      <c r="B61" s="895"/>
      <c r="C61" s="109" t="s">
        <v>538</v>
      </c>
      <c r="D61" s="26" t="s">
        <v>539</v>
      </c>
      <c r="E61" s="26"/>
      <c r="F61" s="29">
        <v>4</v>
      </c>
      <c r="G61" s="29"/>
      <c r="H61" s="29" t="s">
        <v>482</v>
      </c>
      <c r="I61" s="60" t="s">
        <v>0</v>
      </c>
      <c r="J61" s="872" t="s">
        <v>455</v>
      </c>
      <c r="K61" s="873"/>
      <c r="L61" s="85"/>
    </row>
    <row r="62" spans="2:12">
      <c r="B62" s="895"/>
      <c r="C62" s="109"/>
      <c r="D62" s="1092" t="s">
        <v>540</v>
      </c>
      <c r="E62" s="1086"/>
      <c r="F62" s="86">
        <f>SUM(F63:F70)</f>
        <v>40</v>
      </c>
      <c r="G62" s="86"/>
      <c r="H62" s="29"/>
      <c r="I62" s="60" t="s">
        <v>0</v>
      </c>
      <c r="J62" s="880" t="s">
        <v>439</v>
      </c>
      <c r="K62" s="881"/>
      <c r="L62" s="85"/>
    </row>
    <row r="63" spans="2:12">
      <c r="B63" s="895"/>
      <c r="C63" s="109" t="s">
        <v>541</v>
      </c>
      <c r="D63" s="889" t="s">
        <v>542</v>
      </c>
      <c r="E63" s="890"/>
      <c r="F63" s="29">
        <v>4</v>
      </c>
      <c r="G63" s="29"/>
      <c r="H63" s="29" t="s">
        <v>482</v>
      </c>
      <c r="I63" s="60" t="s">
        <v>0</v>
      </c>
      <c r="J63" s="872" t="s">
        <v>455</v>
      </c>
      <c r="K63" s="873"/>
      <c r="L63" s="92"/>
    </row>
    <row r="64" spans="2:12">
      <c r="B64" s="895"/>
      <c r="C64" s="109" t="s">
        <v>543</v>
      </c>
      <c r="D64" s="84" t="s">
        <v>544</v>
      </c>
      <c r="E64" s="26"/>
      <c r="F64" s="29">
        <v>4</v>
      </c>
      <c r="G64" s="29"/>
      <c r="H64" s="29" t="s">
        <v>482</v>
      </c>
      <c r="I64" s="60" t="s">
        <v>0</v>
      </c>
      <c r="J64" s="872" t="s">
        <v>455</v>
      </c>
      <c r="K64" s="873"/>
      <c r="L64" s="85"/>
    </row>
    <row r="65" spans="2:12">
      <c r="B65" s="895"/>
      <c r="C65" s="109" t="s">
        <v>545</v>
      </c>
      <c r="D65" s="84" t="s">
        <v>546</v>
      </c>
      <c r="E65" s="26"/>
      <c r="F65" s="29">
        <v>8</v>
      </c>
      <c r="G65" s="29"/>
      <c r="H65" s="29" t="s">
        <v>482</v>
      </c>
      <c r="I65" s="60" t="s">
        <v>0</v>
      </c>
      <c r="J65" s="872" t="s">
        <v>455</v>
      </c>
      <c r="K65" s="873"/>
      <c r="L65" s="85"/>
    </row>
    <row r="66" spans="2:12">
      <c r="B66" s="895"/>
      <c r="C66" s="109" t="s">
        <v>547</v>
      </c>
      <c r="D66" s="84" t="s">
        <v>546</v>
      </c>
      <c r="E66" s="26"/>
      <c r="F66" s="29">
        <v>8</v>
      </c>
      <c r="G66" s="29"/>
      <c r="H66" s="29" t="s">
        <v>482</v>
      </c>
      <c r="I66" s="60" t="s">
        <v>0</v>
      </c>
      <c r="J66" s="872" t="s">
        <v>455</v>
      </c>
      <c r="K66" s="873"/>
      <c r="L66" s="85"/>
    </row>
    <row r="67" spans="2:12">
      <c r="B67" s="895"/>
      <c r="C67" s="109" t="s">
        <v>548</v>
      </c>
      <c r="D67" s="84" t="s">
        <v>546</v>
      </c>
      <c r="E67" s="26"/>
      <c r="F67" s="29">
        <v>4</v>
      </c>
      <c r="G67" s="29"/>
      <c r="H67" s="29" t="s">
        <v>482</v>
      </c>
      <c r="I67" s="60" t="s">
        <v>0</v>
      </c>
      <c r="J67" s="872" t="s">
        <v>455</v>
      </c>
      <c r="K67" s="873"/>
      <c r="L67" s="85"/>
    </row>
    <row r="68" spans="2:12">
      <c r="B68" s="895"/>
      <c r="C68" s="109" t="s">
        <v>549</v>
      </c>
      <c r="D68" s="84" t="s">
        <v>546</v>
      </c>
      <c r="E68" s="26"/>
      <c r="F68" s="29">
        <v>4</v>
      </c>
      <c r="G68" s="29"/>
      <c r="H68" s="29" t="s">
        <v>482</v>
      </c>
      <c r="I68" s="60" t="s">
        <v>0</v>
      </c>
      <c r="J68" s="872" t="s">
        <v>455</v>
      </c>
      <c r="K68" s="873"/>
      <c r="L68" s="85"/>
    </row>
    <row r="69" spans="2:12">
      <c r="B69" s="895"/>
      <c r="C69" s="109" t="s">
        <v>550</v>
      </c>
      <c r="D69" s="84" t="s">
        <v>546</v>
      </c>
      <c r="E69" s="26"/>
      <c r="F69" s="29">
        <v>4</v>
      </c>
      <c r="G69" s="29"/>
      <c r="H69" s="29" t="s">
        <v>482</v>
      </c>
      <c r="I69" s="60" t="s">
        <v>0</v>
      </c>
      <c r="J69" s="872" t="s">
        <v>455</v>
      </c>
      <c r="K69" s="873"/>
      <c r="L69" s="85"/>
    </row>
    <row r="70" spans="2:12">
      <c r="B70" s="895"/>
      <c r="C70" s="112" t="s">
        <v>551</v>
      </c>
      <c r="D70" s="87" t="s">
        <v>552</v>
      </c>
      <c r="E70" s="53"/>
      <c r="F70" s="52">
        <v>4</v>
      </c>
      <c r="G70" s="52"/>
      <c r="H70" s="29" t="s">
        <v>482</v>
      </c>
      <c r="I70" s="60" t="s">
        <v>0</v>
      </c>
      <c r="J70" s="872" t="s">
        <v>455</v>
      </c>
      <c r="K70" s="873"/>
      <c r="L70" s="92" t="s">
        <v>553</v>
      </c>
    </row>
    <row r="71" spans="2:12" ht="22.5" customHeight="1">
      <c r="B71" s="887" t="s">
        <v>554</v>
      </c>
      <c r="C71" s="888"/>
      <c r="D71" s="888"/>
      <c r="E71" s="888"/>
      <c r="F71" s="63">
        <f>SUM(F2:F70)</f>
        <v>592</v>
      </c>
      <c r="G71" s="113"/>
      <c r="H71" s="55"/>
      <c r="I71" s="891"/>
      <c r="J71" s="892"/>
      <c r="K71" s="893"/>
      <c r="L71" s="58"/>
    </row>
    <row r="72" spans="2:12" ht="20.25" customHeight="1">
      <c r="B72" s="887" t="s">
        <v>555</v>
      </c>
      <c r="C72" s="888"/>
      <c r="D72" s="888"/>
      <c r="E72" s="888"/>
      <c r="F72" s="65">
        <f>F71/8</f>
        <v>74</v>
      </c>
      <c r="G72" s="65"/>
      <c r="H72" s="57"/>
      <c r="I72" s="57"/>
      <c r="J72" s="66"/>
      <c r="K72" s="58"/>
      <c r="L72" s="58"/>
    </row>
    <row r="73" spans="2:12" ht="19.5" customHeight="1">
      <c r="B73" s="885" t="s">
        <v>556</v>
      </c>
      <c r="C73" s="886"/>
      <c r="D73" s="886"/>
      <c r="E73" s="886"/>
      <c r="F73" s="67">
        <f>F71/40</f>
        <v>14.8</v>
      </c>
      <c r="G73" s="67"/>
      <c r="H73" s="88"/>
      <c r="I73" s="64"/>
      <c r="J73" s="64"/>
      <c r="K73" s="55"/>
      <c r="L73" s="55"/>
    </row>
    <row r="74" spans="2:12">
      <c r="F74" s="1">
        <f>F73/4</f>
        <v>3.7</v>
      </c>
      <c r="G74" s="1"/>
    </row>
    <row r="76" spans="2:12">
      <c r="D76" t="s">
        <v>557</v>
      </c>
    </row>
    <row r="1048570" spans="8:8">
      <c r="H1048570" s="29"/>
    </row>
  </sheetData>
  <mergeCells count="117">
    <mergeCell ref="J55:K55"/>
    <mergeCell ref="J56:K56"/>
    <mergeCell ref="J57:K57"/>
    <mergeCell ref="J58:K58"/>
    <mergeCell ref="J59:K59"/>
    <mergeCell ref="J60:K60"/>
    <mergeCell ref="J51:K51"/>
    <mergeCell ref="D53:E53"/>
    <mergeCell ref="J53:K53"/>
    <mergeCell ref="J54:K54"/>
    <mergeCell ref="D51:E51"/>
    <mergeCell ref="J38:K38"/>
    <mergeCell ref="D18:E18"/>
    <mergeCell ref="J18:K18"/>
    <mergeCell ref="D19:E19"/>
    <mergeCell ref="J19:K19"/>
    <mergeCell ref="J22:K22"/>
    <mergeCell ref="J21:K21"/>
    <mergeCell ref="D13:E13"/>
    <mergeCell ref="J13:K13"/>
    <mergeCell ref="D14:E14"/>
    <mergeCell ref="J14:K14"/>
    <mergeCell ref="D15:E15"/>
    <mergeCell ref="J26:K26"/>
    <mergeCell ref="J27:K27"/>
    <mergeCell ref="J28:K28"/>
    <mergeCell ref="J37:K37"/>
    <mergeCell ref="B73:E73"/>
    <mergeCell ref="J67:K67"/>
    <mergeCell ref="J68:K68"/>
    <mergeCell ref="J69:K69"/>
    <mergeCell ref="J70:K70"/>
    <mergeCell ref="B71:E71"/>
    <mergeCell ref="B72:E72"/>
    <mergeCell ref="J62:K62"/>
    <mergeCell ref="J64:K64"/>
    <mergeCell ref="J65:K65"/>
    <mergeCell ref="J66:K66"/>
    <mergeCell ref="D62:E62"/>
    <mergeCell ref="D63:E63"/>
    <mergeCell ref="J63:K63"/>
    <mergeCell ref="I71:K71"/>
    <mergeCell ref="B3:B70"/>
    <mergeCell ref="C3:C7"/>
    <mergeCell ref="D3:E3"/>
    <mergeCell ref="J3:K3"/>
    <mergeCell ref="D5:E5"/>
    <mergeCell ref="J5:K5"/>
    <mergeCell ref="D6:E6"/>
    <mergeCell ref="D21:E21"/>
    <mergeCell ref="J6:K6"/>
    <mergeCell ref="J44:K44"/>
    <mergeCell ref="J45:K45"/>
    <mergeCell ref="J43:K43"/>
    <mergeCell ref="J42:K42"/>
    <mergeCell ref="D28:E28"/>
    <mergeCell ref="D27:E27"/>
    <mergeCell ref="D29:E29"/>
    <mergeCell ref="D40:E40"/>
    <mergeCell ref="D32:E32"/>
    <mergeCell ref="D33:E33"/>
    <mergeCell ref="D34:E34"/>
    <mergeCell ref="D35:E35"/>
    <mergeCell ref="D36:E36"/>
    <mergeCell ref="D37:E37"/>
    <mergeCell ref="D38:E38"/>
    <mergeCell ref="D39:E39"/>
    <mergeCell ref="J39:K39"/>
    <mergeCell ref="J31:K31"/>
    <mergeCell ref="J32:K32"/>
    <mergeCell ref="J33:K33"/>
    <mergeCell ref="J40:K40"/>
    <mergeCell ref="J34:K34"/>
    <mergeCell ref="J35:K35"/>
    <mergeCell ref="J36:K36"/>
    <mergeCell ref="J61:K61"/>
    <mergeCell ref="J46:K46"/>
    <mergeCell ref="J47:K47"/>
    <mergeCell ref="J48:K48"/>
    <mergeCell ref="J49:K49"/>
    <mergeCell ref="J50:K50"/>
    <mergeCell ref="J52:K52"/>
    <mergeCell ref="D25:E25"/>
    <mergeCell ref="D11:E11"/>
    <mergeCell ref="J11:K11"/>
    <mergeCell ref="D12:E12"/>
    <mergeCell ref="J12:K12"/>
    <mergeCell ref="D22:E22"/>
    <mergeCell ref="D20:E20"/>
    <mergeCell ref="J20:K20"/>
    <mergeCell ref="J15:K15"/>
    <mergeCell ref="D16:E16"/>
    <mergeCell ref="J16:K16"/>
    <mergeCell ref="D17:E17"/>
    <mergeCell ref="J17:K17"/>
    <mergeCell ref="J41:K41"/>
    <mergeCell ref="J29:K29"/>
    <mergeCell ref="D50:E50"/>
    <mergeCell ref="D52:E52"/>
    <mergeCell ref="B1:K1"/>
    <mergeCell ref="J2:K2"/>
    <mergeCell ref="D23:E23"/>
    <mergeCell ref="J23:K23"/>
    <mergeCell ref="D24:E24"/>
    <mergeCell ref="J24:K24"/>
    <mergeCell ref="J25:K25"/>
    <mergeCell ref="D31:E31"/>
    <mergeCell ref="J30:K30"/>
    <mergeCell ref="D26:E26"/>
    <mergeCell ref="D7:E7"/>
    <mergeCell ref="J7:K7"/>
    <mergeCell ref="D10:E10"/>
    <mergeCell ref="J10:K10"/>
    <mergeCell ref="D4:E4"/>
    <mergeCell ref="D8:E8"/>
    <mergeCell ref="C8:C13"/>
    <mergeCell ref="D9:E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FD01DEE-90C2-4AF8-9352-E9E1710BEEC7}">
          <x14:formula1>
            <xm:f>reference!$A$1:$A$4</xm:f>
          </x14:formula1>
          <xm:sqref>I3:I70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9F0BF-0289-483F-9DDE-84BB7ECB5D4C}">
  <dimension ref="A1:L25"/>
  <sheetViews>
    <sheetView workbookViewId="0">
      <selection activeCell="H3" sqref="H3:K8"/>
    </sheetView>
  </sheetViews>
  <sheetFormatPr defaultRowHeight="13.9"/>
  <cols>
    <col min="1" max="1" width="6.140625" customWidth="1"/>
    <col min="2" max="2" width="21.85546875" customWidth="1"/>
    <col min="3" max="3" width="56" customWidth="1"/>
    <col min="4" max="4" width="23" customWidth="1"/>
    <col min="5" max="5" width="14.140625" customWidth="1"/>
    <col min="7" max="7" width="12.7109375" customWidth="1"/>
    <col min="8" max="8" width="18.28515625" customWidth="1"/>
    <col min="11" max="11" width="18" customWidth="1"/>
    <col min="12" max="12" width="14.42578125" customWidth="1"/>
  </cols>
  <sheetData>
    <row r="1" spans="1:12" ht="30">
      <c r="A1" s="907" t="s">
        <v>558</v>
      </c>
      <c r="B1" s="907"/>
      <c r="C1" s="907"/>
      <c r="D1" s="907"/>
    </row>
    <row r="2" spans="1:12">
      <c r="F2" s="546" t="s">
        <v>3</v>
      </c>
      <c r="G2" s="546"/>
      <c r="H2" s="546"/>
      <c r="I2" s="546"/>
      <c r="J2" s="546"/>
      <c r="K2" s="546"/>
      <c r="L2" s="546"/>
    </row>
    <row r="3" spans="1:12">
      <c r="A3" s="97">
        <v>1</v>
      </c>
      <c r="B3" s="105" t="s">
        <v>114</v>
      </c>
      <c r="C3" s="903"/>
      <c r="D3" s="903"/>
      <c r="E3" s="25"/>
      <c r="F3" s="549" t="s">
        <v>4</v>
      </c>
      <c r="G3" s="549"/>
      <c r="H3" s="96"/>
      <c r="I3" s="96"/>
      <c r="J3" s="117"/>
      <c r="K3" s="38"/>
      <c r="L3" s="550" t="s">
        <v>5</v>
      </c>
    </row>
    <row r="4" spans="1:12">
      <c r="A4" s="97">
        <v>2</v>
      </c>
      <c r="B4" s="105" t="s">
        <v>559</v>
      </c>
      <c r="C4" s="903"/>
      <c r="D4" s="903"/>
      <c r="E4" s="25"/>
      <c r="F4" s="544" t="s">
        <v>6</v>
      </c>
      <c r="G4" s="544"/>
      <c r="H4" s="16">
        <v>74</v>
      </c>
      <c r="I4" s="16">
        <v>0</v>
      </c>
      <c r="J4" s="118">
        <v>1</v>
      </c>
      <c r="K4" s="107" t="s">
        <v>560</v>
      </c>
      <c r="L4" s="551"/>
    </row>
    <row r="5" spans="1:12">
      <c r="A5" s="97">
        <v>3</v>
      </c>
      <c r="B5" s="105" t="s">
        <v>561</v>
      </c>
      <c r="C5" s="903"/>
      <c r="D5" s="903"/>
      <c r="E5" s="25"/>
      <c r="F5" s="544" t="s">
        <v>8</v>
      </c>
      <c r="G5" s="544"/>
      <c r="H5" s="16">
        <v>84</v>
      </c>
      <c r="I5" s="16">
        <v>75</v>
      </c>
      <c r="J5" s="118">
        <v>2</v>
      </c>
      <c r="K5" s="94" t="s">
        <v>562</v>
      </c>
      <c r="L5" s="545" t="s">
        <v>10</v>
      </c>
    </row>
    <row r="6" spans="1:12">
      <c r="A6" s="97">
        <v>4</v>
      </c>
      <c r="B6" s="105" t="s">
        <v>563</v>
      </c>
      <c r="C6" s="903"/>
      <c r="D6" s="903"/>
      <c r="E6" s="25"/>
      <c r="F6" s="544" t="s">
        <v>11</v>
      </c>
      <c r="G6" s="544"/>
      <c r="H6" s="16">
        <v>88</v>
      </c>
      <c r="I6" s="16">
        <v>85</v>
      </c>
      <c r="J6" s="118">
        <v>3</v>
      </c>
      <c r="K6" s="94" t="s">
        <v>564</v>
      </c>
      <c r="L6" s="545"/>
    </row>
    <row r="7" spans="1:12">
      <c r="A7" s="97">
        <v>5</v>
      </c>
      <c r="B7" s="105" t="s">
        <v>245</v>
      </c>
      <c r="C7" s="903"/>
      <c r="D7" s="903"/>
      <c r="E7" s="25"/>
      <c r="F7" s="544" t="s">
        <v>13</v>
      </c>
      <c r="G7" s="544"/>
      <c r="H7" s="16">
        <v>94</v>
      </c>
      <c r="I7" s="16">
        <v>89</v>
      </c>
      <c r="J7" s="118">
        <v>4</v>
      </c>
      <c r="K7" s="94" t="s">
        <v>565</v>
      </c>
      <c r="L7" s="545"/>
    </row>
    <row r="8" spans="1:12">
      <c r="A8" s="97">
        <v>6</v>
      </c>
      <c r="B8" s="105" t="s">
        <v>566</v>
      </c>
      <c r="C8" s="903"/>
      <c r="D8" s="903"/>
      <c r="E8" s="25"/>
      <c r="F8" s="544" t="s">
        <v>15</v>
      </c>
      <c r="G8" s="544"/>
      <c r="H8" s="16">
        <v>95</v>
      </c>
      <c r="I8" s="16">
        <v>100</v>
      </c>
      <c r="J8" s="118">
        <v>5</v>
      </c>
      <c r="K8" s="94" t="s">
        <v>567</v>
      </c>
      <c r="L8" s="545"/>
    </row>
    <row r="9" spans="1:12">
      <c r="A9" s="97">
        <v>7</v>
      </c>
      <c r="B9" s="105" t="s">
        <v>153</v>
      </c>
      <c r="C9" s="903"/>
      <c r="D9" s="903"/>
      <c r="E9" s="25"/>
    </row>
    <row r="11" spans="1:12" s="1" customFormat="1">
      <c r="A11" s="24" t="s">
        <v>248</v>
      </c>
      <c r="B11" s="902" t="s">
        <v>568</v>
      </c>
      <c r="C11" s="902"/>
      <c r="D11" s="24" t="s">
        <v>569</v>
      </c>
      <c r="E11" s="24" t="s">
        <v>341</v>
      </c>
      <c r="F11" s="24" t="s">
        <v>570</v>
      </c>
      <c r="G11" s="24" t="s">
        <v>571</v>
      </c>
      <c r="H11" s="24" t="s">
        <v>572</v>
      </c>
    </row>
    <row r="12" spans="1:12">
      <c r="A12" s="98">
        <v>1</v>
      </c>
      <c r="B12" s="905" t="s">
        <v>573</v>
      </c>
      <c r="C12" s="906"/>
      <c r="D12" s="101"/>
      <c r="E12" s="103">
        <f>SUM(E13:E16)</f>
        <v>95</v>
      </c>
      <c r="F12" s="103">
        <f t="shared" ref="F12" si="0">SUM(F13:F16)</f>
        <v>20</v>
      </c>
      <c r="G12" s="103">
        <f>SUM(G13:G16)/4</f>
        <v>475</v>
      </c>
      <c r="H12" s="102"/>
    </row>
    <row r="13" spans="1:12">
      <c r="A13" s="99">
        <v>1.1000000000000001</v>
      </c>
      <c r="B13" s="871" t="s">
        <v>574</v>
      </c>
      <c r="C13" s="904"/>
      <c r="D13" s="93" t="s">
        <v>15</v>
      </c>
      <c r="E13" s="104">
        <f>VLOOKUP(D13, $F$3:$H$8, 3, FALSE)</f>
        <v>95</v>
      </c>
      <c r="F13" s="16">
        <v>5</v>
      </c>
      <c r="G13" s="100">
        <f>($E$13/$F$13)*100</f>
        <v>1900</v>
      </c>
      <c r="H13" s="15"/>
    </row>
    <row r="14" spans="1:12">
      <c r="A14" s="99">
        <v>1.2</v>
      </c>
      <c r="B14" s="871" t="s">
        <v>575</v>
      </c>
      <c r="C14" s="904"/>
      <c r="D14" s="93" t="s">
        <v>4</v>
      </c>
      <c r="E14" s="93">
        <f t="shared" ref="E14:E16" si="1">VLOOKUP(D14, $F$3:$H$8, 3, FALSE)</f>
        <v>0</v>
      </c>
      <c r="F14" s="16">
        <v>5</v>
      </c>
      <c r="G14" s="100">
        <f>($E$14/$F$14)*100</f>
        <v>0</v>
      </c>
      <c r="H14" s="15"/>
    </row>
    <row r="15" spans="1:12">
      <c r="A15" s="99">
        <v>1.3</v>
      </c>
      <c r="B15" s="871" t="s">
        <v>576</v>
      </c>
      <c r="C15" s="904"/>
      <c r="D15" s="93" t="s">
        <v>4</v>
      </c>
      <c r="E15" s="93">
        <f t="shared" si="1"/>
        <v>0</v>
      </c>
      <c r="F15" s="16">
        <v>5</v>
      </c>
      <c r="G15" s="100">
        <f>($E$15/$F$15)*100</f>
        <v>0</v>
      </c>
      <c r="H15" s="15"/>
    </row>
    <row r="16" spans="1:12">
      <c r="A16" s="99">
        <v>1.4</v>
      </c>
      <c r="B16" s="871" t="s">
        <v>577</v>
      </c>
      <c r="C16" s="904"/>
      <c r="D16" s="93" t="s">
        <v>4</v>
      </c>
      <c r="E16" s="93">
        <f t="shared" si="1"/>
        <v>0</v>
      </c>
      <c r="F16" s="16">
        <v>5</v>
      </c>
      <c r="G16" s="100">
        <f>($E$16/$F$16)*100</f>
        <v>0</v>
      </c>
      <c r="H16" s="15"/>
    </row>
    <row r="17" spans="1:8">
      <c r="A17" s="98">
        <v>2</v>
      </c>
      <c r="B17" s="101" t="s">
        <v>578</v>
      </c>
      <c r="C17" s="101"/>
      <c r="D17" s="101"/>
      <c r="E17" s="103">
        <f>SUM(E18:E21)</f>
        <v>0</v>
      </c>
      <c r="F17" s="103">
        <f t="shared" ref="F17" si="2">SUM(F18:F21)</f>
        <v>20</v>
      </c>
      <c r="G17" s="103">
        <f>SUM(G18:G21)/4</f>
        <v>475</v>
      </c>
      <c r="H17" s="102"/>
    </row>
    <row r="18" spans="1:8">
      <c r="A18" s="99">
        <v>2.1</v>
      </c>
      <c r="B18" s="871" t="s">
        <v>579</v>
      </c>
      <c r="C18" s="904"/>
      <c r="D18" s="93" t="s">
        <v>4</v>
      </c>
      <c r="E18" s="104">
        <f>VLOOKUP(D18, $F$3:$H$8, 3, FALSE)</f>
        <v>0</v>
      </c>
      <c r="F18" s="16">
        <v>5</v>
      </c>
      <c r="G18" s="100">
        <f>($E$13/$F$13)*100</f>
        <v>1900</v>
      </c>
      <c r="H18" s="15"/>
    </row>
    <row r="19" spans="1:8">
      <c r="A19" s="99">
        <v>2.2000000000000002</v>
      </c>
      <c r="B19" s="871" t="s">
        <v>580</v>
      </c>
      <c r="C19" s="904"/>
      <c r="D19" s="93" t="s">
        <v>4</v>
      </c>
      <c r="E19" s="93">
        <f t="shared" ref="E19:E21" si="3">VLOOKUP(D19, $F$3:$H$8, 3, FALSE)</f>
        <v>0</v>
      </c>
      <c r="F19" s="16">
        <v>5</v>
      </c>
      <c r="G19" s="100">
        <f>($E$14/$F$14)*100</f>
        <v>0</v>
      </c>
      <c r="H19" s="15"/>
    </row>
    <row r="20" spans="1:8">
      <c r="A20" s="99">
        <v>2.2999999999999998</v>
      </c>
      <c r="B20" s="871" t="s">
        <v>581</v>
      </c>
      <c r="C20" s="904"/>
      <c r="D20" s="93" t="s">
        <v>4</v>
      </c>
      <c r="E20" s="93">
        <f t="shared" si="3"/>
        <v>0</v>
      </c>
      <c r="F20" s="16">
        <v>5</v>
      </c>
      <c r="G20" s="100">
        <f>($E$15/$F$15)*100</f>
        <v>0</v>
      </c>
      <c r="H20" s="15"/>
    </row>
    <row r="21" spans="1:8">
      <c r="A21" s="99">
        <v>2.4</v>
      </c>
      <c r="B21" s="871" t="s">
        <v>582</v>
      </c>
      <c r="C21" s="904"/>
      <c r="D21" s="93" t="s">
        <v>4</v>
      </c>
      <c r="E21" s="93">
        <f t="shared" si="3"/>
        <v>0</v>
      </c>
      <c r="F21" s="16">
        <v>5</v>
      </c>
      <c r="G21" s="100">
        <f>($E$16/$F$16)*100</f>
        <v>0</v>
      </c>
      <c r="H21" s="15"/>
    </row>
    <row r="22" spans="1:8">
      <c r="A22" s="98">
        <v>3</v>
      </c>
      <c r="B22" s="101" t="s">
        <v>262</v>
      </c>
      <c r="C22" s="101"/>
      <c r="D22" s="101"/>
      <c r="E22" s="103">
        <f>SUM(E23:E26)</f>
        <v>0</v>
      </c>
      <c r="F22" s="103">
        <f t="shared" ref="F22" si="4">SUM(F23:F26)</f>
        <v>15</v>
      </c>
      <c r="G22" s="103">
        <f>SUM(G23:G26)/4</f>
        <v>475</v>
      </c>
      <c r="H22" s="102"/>
    </row>
    <row r="23" spans="1:8">
      <c r="A23" s="99">
        <v>3.1</v>
      </c>
      <c r="B23" s="871" t="s">
        <v>583</v>
      </c>
      <c r="C23" s="904"/>
      <c r="D23" s="93" t="s">
        <v>4</v>
      </c>
      <c r="E23" s="104">
        <f>VLOOKUP(D23, $F$3:$H$8, 3, FALSE)</f>
        <v>0</v>
      </c>
      <c r="F23" s="16">
        <v>5</v>
      </c>
      <c r="G23" s="100">
        <f>($E$13/$F$13)*100</f>
        <v>1900</v>
      </c>
      <c r="H23" s="15"/>
    </row>
    <row r="24" spans="1:8">
      <c r="A24" s="99">
        <v>3.2</v>
      </c>
      <c r="B24" s="871" t="s">
        <v>584</v>
      </c>
      <c r="C24" s="904"/>
      <c r="D24" s="93" t="s">
        <v>4</v>
      </c>
      <c r="E24" s="93">
        <f t="shared" ref="E24" si="5">VLOOKUP(D24, $F$3:$H$8, 3, FALSE)</f>
        <v>0</v>
      </c>
      <c r="F24" s="16">
        <v>5</v>
      </c>
      <c r="G24" s="100">
        <f>($E$14/$F$14)*100</f>
        <v>0</v>
      </c>
      <c r="H24" s="15"/>
    </row>
    <row r="25" spans="1:8">
      <c r="A25" s="99">
        <v>3.3</v>
      </c>
      <c r="B25" s="871" t="s">
        <v>585</v>
      </c>
      <c r="C25" s="904"/>
      <c r="D25" s="93" t="s">
        <v>4</v>
      </c>
      <c r="E25" s="93">
        <f>VLOOKUP(D25, $F$3:$H$8, 3, FALSE)</f>
        <v>0</v>
      </c>
      <c r="F25" s="16">
        <v>5</v>
      </c>
      <c r="G25" s="100">
        <f>($E$15/$F$15)*100</f>
        <v>0</v>
      </c>
      <c r="H25" s="15"/>
    </row>
  </sheetData>
  <mergeCells count="30">
    <mergeCell ref="A1:D1"/>
    <mergeCell ref="F4:G4"/>
    <mergeCell ref="F5:G5"/>
    <mergeCell ref="F6:G6"/>
    <mergeCell ref="C3:D3"/>
    <mergeCell ref="C4:D4"/>
    <mergeCell ref="C5:D5"/>
    <mergeCell ref="C6:D6"/>
    <mergeCell ref="F2:L2"/>
    <mergeCell ref="F3:G3"/>
    <mergeCell ref="L5:L8"/>
    <mergeCell ref="L3:L4"/>
    <mergeCell ref="C7:D7"/>
    <mergeCell ref="F7:G7"/>
    <mergeCell ref="F8:G8"/>
    <mergeCell ref="B25:C25"/>
    <mergeCell ref="B19:C19"/>
    <mergeCell ref="B20:C20"/>
    <mergeCell ref="B21:C21"/>
    <mergeCell ref="B23:C23"/>
    <mergeCell ref="B24:C24"/>
    <mergeCell ref="B11:C11"/>
    <mergeCell ref="C8:D8"/>
    <mergeCell ref="B18:C18"/>
    <mergeCell ref="B12:C12"/>
    <mergeCell ref="B13:C13"/>
    <mergeCell ref="B14:C14"/>
    <mergeCell ref="B15:C15"/>
    <mergeCell ref="B16:C16"/>
    <mergeCell ref="C9:D9"/>
  </mergeCells>
  <dataValidations count="1">
    <dataValidation type="list" allowBlank="1" showInputMessage="1" showErrorMessage="1" sqref="D23:D25 D18:D21 D13:D16" xr:uid="{12819891-2384-4D66-B2D9-60BD4B13843A}">
      <formula1>"Not Applicable, Strongly Disagree, Disagree, Neutral, Agree, Strongly Agree"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C1687-3280-4AD8-BAC7-11534DA1C052}">
  <sheetPr>
    <tabColor theme="9" tint="-0.499984740745262"/>
  </sheetPr>
  <dimension ref="B1:K23"/>
  <sheetViews>
    <sheetView topLeftCell="D3" workbookViewId="0">
      <selection activeCell="M11" sqref="M11"/>
    </sheetView>
  </sheetViews>
  <sheetFormatPr defaultRowHeight="13.9"/>
  <cols>
    <col min="1" max="1" width="3" customWidth="1"/>
    <col min="2" max="2" width="16.28515625" customWidth="1"/>
    <col min="3" max="4" width="6.85546875" customWidth="1"/>
    <col min="5" max="5" width="23.42578125" customWidth="1"/>
    <col min="6" max="6" width="18.5703125" customWidth="1"/>
    <col min="7" max="7" width="16.140625" customWidth="1"/>
    <col min="8" max="8" width="20.5703125" customWidth="1"/>
    <col min="9" max="9" width="65.28515625" customWidth="1"/>
  </cols>
  <sheetData>
    <row r="1" spans="2:11" ht="36" customHeight="1">
      <c r="B1" s="867" t="s">
        <v>420</v>
      </c>
      <c r="C1" s="867"/>
      <c r="D1" s="867"/>
      <c r="E1" s="867"/>
      <c r="F1" s="867"/>
      <c r="G1" s="867"/>
      <c r="H1" s="867"/>
      <c r="I1" s="867"/>
    </row>
    <row r="2" spans="2:11" s="3" customFormat="1" ht="22.5" customHeight="1">
      <c r="B2" s="19" t="s">
        <v>95</v>
      </c>
      <c r="C2" s="914"/>
      <c r="D2" s="915"/>
      <c r="E2" s="916"/>
      <c r="F2" s="22" t="s">
        <v>586</v>
      </c>
      <c r="G2" s="917"/>
      <c r="H2" s="917"/>
      <c r="I2" s="918">
        <f xml:space="preserve"> (COUNTIF(H8:H17, "Completed") + 0.5 * COUNTIF(H8:H17, "In Progress")) / COUNTA(H8:H17)</f>
        <v>0</v>
      </c>
    </row>
    <row r="3" spans="2:11" s="3" customFormat="1" ht="22.5" customHeight="1">
      <c r="B3" s="19" t="s">
        <v>154</v>
      </c>
      <c r="C3" s="919"/>
      <c r="D3" s="920"/>
      <c r="E3" s="921"/>
      <c r="F3" s="22" t="s">
        <v>587</v>
      </c>
      <c r="G3" s="917"/>
      <c r="H3" s="917"/>
      <c r="I3" s="918"/>
    </row>
    <row r="4" spans="2:11" s="3" customFormat="1" ht="22.5" customHeight="1">
      <c r="B4" s="21" t="s">
        <v>588</v>
      </c>
      <c r="C4" s="922"/>
      <c r="D4" s="922"/>
      <c r="E4" s="922"/>
      <c r="F4" s="23" t="s">
        <v>244</v>
      </c>
      <c r="G4" s="917"/>
      <c r="H4" s="917"/>
      <c r="I4" s="918"/>
    </row>
    <row r="5" spans="2:11">
      <c r="B5" s="908" t="s">
        <v>589</v>
      </c>
      <c r="C5" s="909"/>
      <c r="D5" s="28"/>
      <c r="E5" s="910"/>
      <c r="F5" s="911"/>
      <c r="G5" s="910"/>
      <c r="H5" s="910"/>
      <c r="I5" s="910"/>
    </row>
    <row r="6" spans="2:11">
      <c r="B6" s="908"/>
      <c r="C6" s="908"/>
      <c r="D6" s="27"/>
      <c r="E6" s="911"/>
      <c r="F6" s="911"/>
      <c r="G6" s="911"/>
      <c r="H6" s="911"/>
      <c r="I6" s="911"/>
    </row>
    <row r="7" spans="2:11" s="14" customFormat="1">
      <c r="B7" s="20" t="s">
        <v>590</v>
      </c>
      <c r="C7" s="20" t="s">
        <v>591</v>
      </c>
      <c r="D7" s="20" t="s">
        <v>422</v>
      </c>
      <c r="E7" s="912" t="s">
        <v>423</v>
      </c>
      <c r="F7" s="912"/>
      <c r="G7" s="20" t="s">
        <v>592</v>
      </c>
      <c r="H7" s="20" t="s">
        <v>345</v>
      </c>
      <c r="I7" s="20" t="s">
        <v>593</v>
      </c>
    </row>
    <row r="8" spans="2:11">
      <c r="B8" s="894"/>
      <c r="C8" s="894">
        <v>1</v>
      </c>
      <c r="D8" s="30" t="s">
        <v>594</v>
      </c>
      <c r="E8" s="884" t="s">
        <v>595</v>
      </c>
      <c r="F8" s="883"/>
      <c r="G8" s="16">
        <v>4</v>
      </c>
      <c r="H8" s="16" t="s">
        <v>0</v>
      </c>
      <c r="I8" s="51" t="s">
        <v>596</v>
      </c>
    </row>
    <row r="9" spans="2:11">
      <c r="B9" s="895"/>
      <c r="C9" s="895"/>
      <c r="D9" s="37" t="s">
        <v>597</v>
      </c>
      <c r="E9" s="884" t="s">
        <v>598</v>
      </c>
      <c r="F9" s="883"/>
      <c r="G9" s="16">
        <v>1</v>
      </c>
      <c r="H9" s="16" t="s">
        <v>0</v>
      </c>
      <c r="I9" s="16"/>
    </row>
    <row r="10" spans="2:11">
      <c r="B10" s="895"/>
      <c r="C10" s="895"/>
      <c r="D10" s="37" t="s">
        <v>440</v>
      </c>
      <c r="E10" s="884" t="s">
        <v>599</v>
      </c>
      <c r="F10" s="883"/>
      <c r="G10" s="16">
        <v>2</v>
      </c>
      <c r="H10" s="16" t="s">
        <v>0</v>
      </c>
      <c r="I10" s="16"/>
    </row>
    <row r="11" spans="2:11">
      <c r="B11" s="895"/>
      <c r="C11" s="895"/>
      <c r="D11" s="37" t="s">
        <v>444</v>
      </c>
      <c r="E11" s="884" t="s">
        <v>600</v>
      </c>
      <c r="F11" s="883"/>
      <c r="G11" s="16">
        <v>6</v>
      </c>
      <c r="H11" s="16" t="s">
        <v>0</v>
      </c>
      <c r="I11" s="51" t="s">
        <v>601</v>
      </c>
      <c r="K11" s="50"/>
    </row>
    <row r="12" spans="2:11">
      <c r="B12" s="895"/>
      <c r="C12" s="895"/>
      <c r="D12" s="37" t="s">
        <v>447</v>
      </c>
      <c r="E12" s="884" t="s">
        <v>602</v>
      </c>
      <c r="F12" s="883"/>
      <c r="G12" s="16">
        <v>4</v>
      </c>
      <c r="H12" s="16" t="s">
        <v>0</v>
      </c>
      <c r="I12" s="16"/>
    </row>
    <row r="13" spans="2:11">
      <c r="B13" s="895"/>
      <c r="C13" s="895"/>
      <c r="D13" s="37" t="s">
        <v>450</v>
      </c>
      <c r="E13" s="33" t="s">
        <v>603</v>
      </c>
      <c r="F13" s="34"/>
      <c r="G13" s="16">
        <v>4</v>
      </c>
      <c r="H13" s="16" t="s">
        <v>0</v>
      </c>
      <c r="I13" s="16"/>
    </row>
    <row r="14" spans="2:11">
      <c r="B14" s="895"/>
      <c r="C14" s="895"/>
      <c r="D14" s="37" t="s">
        <v>453</v>
      </c>
      <c r="E14" s="884" t="s">
        <v>604</v>
      </c>
      <c r="F14" s="883"/>
      <c r="G14" s="16">
        <v>4</v>
      </c>
      <c r="H14" s="16" t="s">
        <v>0</v>
      </c>
      <c r="I14" s="16"/>
    </row>
    <row r="15" spans="2:11">
      <c r="B15" s="895"/>
      <c r="C15" s="895"/>
      <c r="D15" s="37"/>
      <c r="E15" s="33" t="s">
        <v>605</v>
      </c>
      <c r="F15" s="34"/>
      <c r="G15" s="16">
        <v>7</v>
      </c>
      <c r="H15" s="16" t="s">
        <v>0</v>
      </c>
      <c r="I15" s="51" t="s">
        <v>606</v>
      </c>
    </row>
    <row r="16" spans="2:11">
      <c r="B16" s="895"/>
      <c r="C16" s="895"/>
      <c r="D16" s="37"/>
      <c r="E16" s="884"/>
      <c r="F16" s="883"/>
      <c r="G16" s="16"/>
      <c r="H16" s="16"/>
      <c r="I16" s="16"/>
    </row>
    <row r="17" spans="2:9">
      <c r="B17" s="913"/>
      <c r="C17" s="913"/>
      <c r="D17" s="38"/>
      <c r="E17" s="884"/>
      <c r="F17" s="883"/>
      <c r="G17" s="16"/>
      <c r="H17" s="16"/>
      <c r="I17" s="16"/>
    </row>
    <row r="18" spans="2:9">
      <c r="F18" s="13" t="s">
        <v>607</v>
      </c>
      <c r="G18" s="35">
        <f>SUM(G8:G17)</f>
        <v>32</v>
      </c>
      <c r="H18" s="25"/>
    </row>
    <row r="19" spans="2:9">
      <c r="F19" s="13" t="s">
        <v>608</v>
      </c>
      <c r="G19" s="36">
        <f>G18/8</f>
        <v>4</v>
      </c>
    </row>
    <row r="20" spans="2:9">
      <c r="B20" t="s">
        <v>609</v>
      </c>
    </row>
    <row r="21" spans="2:9">
      <c r="B21" t="s">
        <v>1</v>
      </c>
    </row>
    <row r="22" spans="2:9">
      <c r="B22" t="s">
        <v>2</v>
      </c>
    </row>
    <row r="23" spans="2:9">
      <c r="B23" t="s">
        <v>0</v>
      </c>
    </row>
  </sheetData>
  <mergeCells count="21">
    <mergeCell ref="B1:I1"/>
    <mergeCell ref="C2:E2"/>
    <mergeCell ref="G2:H2"/>
    <mergeCell ref="I2:I4"/>
    <mergeCell ref="C3:E3"/>
    <mergeCell ref="G3:H3"/>
    <mergeCell ref="C4:E4"/>
    <mergeCell ref="G4:H4"/>
    <mergeCell ref="E16:F16"/>
    <mergeCell ref="E17:F17"/>
    <mergeCell ref="E14:F14"/>
    <mergeCell ref="B5:C6"/>
    <mergeCell ref="E5:I6"/>
    <mergeCell ref="E7:F7"/>
    <mergeCell ref="B8:B17"/>
    <mergeCell ref="C8:C17"/>
    <mergeCell ref="E8:F8"/>
    <mergeCell ref="E9:F9"/>
    <mergeCell ref="E10:F10"/>
    <mergeCell ref="E11:F11"/>
    <mergeCell ref="E12:F12"/>
  </mergeCells>
  <dataValidations count="1">
    <dataValidation type="list" allowBlank="1" showInputMessage="1" showErrorMessage="1" sqref="H8:H17" xr:uid="{9BDB806A-4C72-4C7F-8B3A-AA18716E8A98}">
      <formula1>$B$20:$B$23</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50322-6A5E-4389-AE01-0F355107D5BA}">
  <dimension ref="A1:J34"/>
  <sheetViews>
    <sheetView workbookViewId="0">
      <selection activeCell="B13" sqref="B13:B18"/>
    </sheetView>
  </sheetViews>
  <sheetFormatPr defaultColWidth="9.85546875" defaultRowHeight="13.9"/>
  <cols>
    <col min="1" max="1" width="117.5703125" customWidth="1"/>
    <col min="2" max="2" width="17.5703125" style="25" customWidth="1"/>
    <col min="3" max="3" width="19.140625" style="25" customWidth="1"/>
    <col min="4" max="4" width="19.42578125" style="25" customWidth="1"/>
    <col min="5" max="5" width="15.7109375" style="25" customWidth="1"/>
    <col min="6" max="6" width="17" customWidth="1"/>
    <col min="7" max="16380" width="9.140625"/>
    <col min="16381" max="16384" width="5.85546875" customWidth="1"/>
  </cols>
  <sheetData>
    <row r="1" spans="1:6">
      <c r="A1" s="155"/>
      <c r="B1" s="272"/>
      <c r="C1" s="14"/>
      <c r="D1" s="14"/>
      <c r="E1" s="14"/>
      <c r="F1" s="171"/>
    </row>
    <row r="2" spans="1:6">
      <c r="A2" s="155"/>
      <c r="B2" s="272"/>
      <c r="C2" s="272"/>
      <c r="D2" s="272"/>
      <c r="E2" s="272"/>
      <c r="F2" s="171"/>
    </row>
    <row r="3" spans="1:6">
      <c r="A3" s="155"/>
      <c r="B3" s="272"/>
      <c r="C3" s="272"/>
      <c r="D3" s="272"/>
      <c r="E3" s="272"/>
      <c r="F3" s="171"/>
    </row>
    <row r="4" spans="1:6">
      <c r="A4" s="925" t="s">
        <v>610</v>
      </c>
      <c r="B4" s="925"/>
      <c r="C4" s="925"/>
      <c r="D4" s="925"/>
      <c r="E4" s="925"/>
      <c r="F4" s="925"/>
    </row>
    <row r="5" spans="1:6">
      <c r="A5" s="925"/>
      <c r="B5" s="925"/>
      <c r="C5" s="925"/>
      <c r="D5" s="925"/>
      <c r="E5" s="925"/>
      <c r="F5" s="925"/>
    </row>
    <row r="6" spans="1:6" ht="15.6">
      <c r="A6" s="273" t="s">
        <v>611</v>
      </c>
      <c r="B6" s="926"/>
      <c r="C6" s="926"/>
      <c r="D6" s="926"/>
      <c r="E6" s="926"/>
    </row>
    <row r="7" spans="1:6" ht="15.6">
      <c r="A7" s="273" t="s">
        <v>612</v>
      </c>
      <c r="B7" s="926"/>
      <c r="C7" s="926"/>
      <c r="D7" s="926"/>
      <c r="E7" s="926"/>
      <c r="F7" s="507"/>
    </row>
    <row r="8" spans="1:6" ht="15.6">
      <c r="A8" s="273" t="s">
        <v>613</v>
      </c>
      <c r="B8" s="926"/>
      <c r="C8" s="926"/>
      <c r="D8" s="926"/>
      <c r="E8" s="926"/>
    </row>
    <row r="9" spans="1:6" ht="15" customHeight="1">
      <c r="A9" s="927" t="s">
        <v>614</v>
      </c>
      <c r="B9" s="928"/>
      <c r="C9" s="928"/>
      <c r="D9" s="928"/>
      <c r="E9" s="928"/>
    </row>
    <row r="10" spans="1:6">
      <c r="A10" s="929"/>
      <c r="B10" s="930"/>
      <c r="C10" s="930"/>
      <c r="D10" s="930"/>
      <c r="E10" s="930"/>
    </row>
    <row r="11" spans="1:6" ht="16.899999999999999">
      <c r="A11" s="274" t="s">
        <v>615</v>
      </c>
      <c r="B11" s="275" t="s">
        <v>616</v>
      </c>
      <c r="C11" s="275" t="s">
        <v>617</v>
      </c>
      <c r="D11" s="275" t="s">
        <v>618</v>
      </c>
      <c r="E11" s="923" t="s">
        <v>619</v>
      </c>
    </row>
    <row r="12" spans="1:6" ht="16.899999999999999">
      <c r="A12" s="276"/>
      <c r="B12" s="277" t="s">
        <v>620</v>
      </c>
      <c r="C12" s="277" t="s">
        <v>621</v>
      </c>
      <c r="D12" s="277" t="s">
        <v>622</v>
      </c>
      <c r="E12" s="924"/>
    </row>
    <row r="13" spans="1:6" ht="46.9">
      <c r="A13" s="278" t="s">
        <v>623</v>
      </c>
      <c r="B13" s="405"/>
      <c r="C13" s="405"/>
      <c r="D13" s="405"/>
      <c r="E13" s="279" t="str">
        <f>IFERROR(AVERAGE(B13:D13), " ")</f>
        <v xml:space="preserve"> </v>
      </c>
    </row>
    <row r="14" spans="1:6" ht="46.9">
      <c r="A14" s="278" t="s">
        <v>624</v>
      </c>
      <c r="B14" s="405"/>
      <c r="C14" s="405"/>
      <c r="D14" s="405"/>
      <c r="E14" s="279" t="str">
        <f t="shared" ref="E14:E28" si="0">IFERROR(AVERAGE(B14:D14), " ")</f>
        <v xml:space="preserve"> </v>
      </c>
    </row>
    <row r="15" spans="1:6" ht="31.15">
      <c r="A15" s="278" t="s">
        <v>625</v>
      </c>
      <c r="B15" s="405"/>
      <c r="C15" s="405"/>
      <c r="D15" s="405"/>
      <c r="E15" s="279" t="str">
        <f t="shared" si="0"/>
        <v xml:space="preserve"> </v>
      </c>
    </row>
    <row r="16" spans="1:6" ht="31.15">
      <c r="A16" s="278" t="s">
        <v>626</v>
      </c>
      <c r="B16" s="405"/>
      <c r="C16" s="405"/>
      <c r="D16" s="405"/>
      <c r="E16" s="279" t="str">
        <f t="shared" si="0"/>
        <v xml:space="preserve"> </v>
      </c>
    </row>
    <row r="17" spans="1:10" ht="46.9">
      <c r="A17" s="278" t="s">
        <v>627</v>
      </c>
      <c r="B17" s="405"/>
      <c r="C17" s="405"/>
      <c r="D17" s="405"/>
      <c r="E17" s="279" t="str">
        <f t="shared" si="0"/>
        <v xml:space="preserve"> </v>
      </c>
    </row>
    <row r="18" spans="1:10" ht="31.15">
      <c r="A18" s="278" t="s">
        <v>628</v>
      </c>
      <c r="B18" s="405"/>
      <c r="C18" s="405"/>
      <c r="D18" s="405"/>
      <c r="E18" s="279" t="str">
        <f t="shared" si="0"/>
        <v xml:space="preserve"> </v>
      </c>
    </row>
    <row r="19" spans="1:10" ht="31.15">
      <c r="A19" s="278" t="s">
        <v>629</v>
      </c>
      <c r="B19" s="405"/>
      <c r="C19" s="405"/>
      <c r="D19" s="405"/>
      <c r="E19" s="279" t="str">
        <f t="shared" si="0"/>
        <v xml:space="preserve"> </v>
      </c>
    </row>
    <row r="20" spans="1:10" ht="46.9">
      <c r="A20" s="278" t="s">
        <v>630</v>
      </c>
      <c r="B20" s="405"/>
      <c r="C20" s="405"/>
      <c r="D20" s="405"/>
      <c r="E20" s="279" t="str">
        <f t="shared" si="0"/>
        <v xml:space="preserve"> </v>
      </c>
    </row>
    <row r="21" spans="1:10" ht="31.15">
      <c r="A21" s="278" t="s">
        <v>631</v>
      </c>
      <c r="B21" s="405"/>
      <c r="C21" s="405"/>
      <c r="D21" s="405"/>
      <c r="E21" s="279" t="str">
        <f t="shared" si="0"/>
        <v xml:space="preserve"> </v>
      </c>
    </row>
    <row r="22" spans="1:10" ht="31.15">
      <c r="A22" s="278" t="s">
        <v>632</v>
      </c>
      <c r="B22" s="405"/>
      <c r="C22" s="405"/>
      <c r="D22" s="405"/>
      <c r="E22" s="279" t="str">
        <f t="shared" si="0"/>
        <v xml:space="preserve"> </v>
      </c>
    </row>
    <row r="23" spans="1:10" ht="46.9">
      <c r="A23" s="278" t="s">
        <v>633</v>
      </c>
      <c r="B23" s="405"/>
      <c r="C23" s="405"/>
      <c r="D23" s="405"/>
      <c r="E23" s="279" t="str">
        <f t="shared" si="0"/>
        <v xml:space="preserve"> </v>
      </c>
    </row>
    <row r="24" spans="1:10" ht="21.6">
      <c r="A24" s="280" t="s">
        <v>634</v>
      </c>
      <c r="B24" s="406" t="s">
        <v>116</v>
      </c>
      <c r="C24" s="406"/>
      <c r="D24" s="406"/>
      <c r="E24" s="279" t="str">
        <f t="shared" si="0"/>
        <v xml:space="preserve"> </v>
      </c>
    </row>
    <row r="25" spans="1:10" ht="60.75" customHeight="1">
      <c r="A25" s="278" t="s">
        <v>635</v>
      </c>
      <c r="B25" s="405"/>
      <c r="C25" s="405"/>
      <c r="D25" s="405"/>
      <c r="E25" s="279" t="str">
        <f t="shared" si="0"/>
        <v xml:space="preserve"> </v>
      </c>
    </row>
    <row r="26" spans="1:10" ht="46.9">
      <c r="A26" s="278" t="s">
        <v>636</v>
      </c>
      <c r="B26" s="405"/>
      <c r="C26" s="405"/>
      <c r="D26" s="405"/>
      <c r="E26" s="279" t="str">
        <f t="shared" si="0"/>
        <v xml:space="preserve"> </v>
      </c>
    </row>
    <row r="27" spans="1:10" ht="31.15">
      <c r="A27" s="278" t="s">
        <v>637</v>
      </c>
      <c r="B27" s="405"/>
      <c r="C27" s="405"/>
      <c r="D27" s="405"/>
      <c r="E27" s="279" t="str">
        <f t="shared" si="0"/>
        <v xml:space="preserve"> </v>
      </c>
    </row>
    <row r="28" spans="1:10" ht="46.9">
      <c r="A28" s="281" t="s">
        <v>638</v>
      </c>
      <c r="B28" s="405"/>
      <c r="C28" s="405"/>
      <c r="D28" s="405"/>
      <c r="E28" s="279" t="str">
        <f t="shared" si="0"/>
        <v xml:space="preserve"> </v>
      </c>
    </row>
    <row r="29" spans="1:10" s="283" customFormat="1" ht="15.6">
      <c r="A29" s="282" t="s">
        <v>85</v>
      </c>
      <c r="B29" s="36">
        <f>SUM(B13:B28)</f>
        <v>0</v>
      </c>
      <c r="C29" s="36">
        <f>(SUM(C13:C28))</f>
        <v>0</v>
      </c>
      <c r="D29" s="36">
        <f>SUM(D13:D28)</f>
        <v>0</v>
      </c>
      <c r="E29" s="541">
        <f>SUM(E13:E28)</f>
        <v>0</v>
      </c>
      <c r="F29" s="32"/>
      <c r="G29" s="32"/>
      <c r="H29" s="32"/>
      <c r="I29" s="32"/>
      <c r="J29" s="32"/>
    </row>
    <row r="30" spans="1:10">
      <c r="B30" s="14"/>
      <c r="E30" s="407">
        <f>E29/75*5</f>
        <v>0</v>
      </c>
    </row>
    <row r="31" spans="1:10">
      <c r="G31" s="769"/>
      <c r="H31" s="769"/>
      <c r="I31" s="769"/>
      <c r="J31" s="769"/>
    </row>
    <row r="32" spans="1:10">
      <c r="F32" s="14"/>
      <c r="G32" s="769"/>
      <c r="H32" s="769"/>
      <c r="I32" s="769"/>
      <c r="J32" s="769"/>
    </row>
    <row r="33" spans="2:5">
      <c r="E33" s="36"/>
    </row>
    <row r="34" spans="2:5">
      <c r="B34" s="284"/>
      <c r="C34" s="284"/>
      <c r="D34" s="284"/>
      <c r="E34" s="542"/>
    </row>
  </sheetData>
  <mergeCells count="9">
    <mergeCell ref="E11:E12"/>
    <mergeCell ref="G31:J31"/>
    <mergeCell ref="G32:J32"/>
    <mergeCell ref="A4:F5"/>
    <mergeCell ref="B6:E6"/>
    <mergeCell ref="B7:E7"/>
    <mergeCell ref="B8:E8"/>
    <mergeCell ref="A9:E9"/>
    <mergeCell ref="A10:E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DBF9-9A67-4F39-9E7C-74A0D37065F4}">
  <dimension ref="A1:CJ165"/>
  <sheetViews>
    <sheetView workbookViewId="0">
      <pane xSplit="14" topLeftCell="O8" activePane="topRight" state="frozen"/>
      <selection pane="topRight" activeCell="C23" sqref="C23:C24"/>
      <selection activeCell="A3" sqref="A3"/>
    </sheetView>
  </sheetViews>
  <sheetFormatPr defaultColWidth="9.140625" defaultRowHeight="13.9"/>
  <cols>
    <col min="1" max="1" width="5.5703125" customWidth="1"/>
    <col min="2" max="2" width="5.42578125" customWidth="1"/>
    <col min="3" max="3" width="21.85546875" customWidth="1"/>
    <col min="4" max="4" width="5.7109375" customWidth="1"/>
    <col min="5" max="12" width="5" customWidth="1"/>
    <col min="13" max="13" width="6.28515625" customWidth="1"/>
    <col min="14" max="14" width="8.28515625" customWidth="1"/>
    <col min="15" max="34" width="5" customWidth="1"/>
    <col min="35" max="35" width="5.5703125" customWidth="1"/>
    <col min="36" max="36" width="5" customWidth="1"/>
    <col min="37" max="37" width="5.140625" customWidth="1"/>
    <col min="38" max="38" width="5.28515625" customWidth="1"/>
    <col min="39" max="39" width="4.7109375" customWidth="1"/>
    <col min="40" max="40" width="4.42578125" customWidth="1"/>
    <col min="41" max="41" width="4.85546875" customWidth="1"/>
    <col min="42" max="42" width="4.7109375" customWidth="1"/>
    <col min="43" max="43" width="5.42578125" customWidth="1"/>
    <col min="44" max="44" width="4.42578125" customWidth="1"/>
    <col min="46" max="46" width="10.28515625" customWidth="1"/>
  </cols>
  <sheetData>
    <row r="1" spans="1:88" ht="18" customHeight="1">
      <c r="D1" s="1016" t="s">
        <v>639</v>
      </c>
      <c r="E1" s="156">
        <v>1</v>
      </c>
      <c r="F1" s="156">
        <v>2</v>
      </c>
      <c r="G1" s="156">
        <v>3</v>
      </c>
      <c r="H1" s="156">
        <v>4</v>
      </c>
      <c r="I1" s="156">
        <v>5</v>
      </c>
      <c r="J1" s="156">
        <v>6</v>
      </c>
      <c r="K1" s="156">
        <v>7</v>
      </c>
      <c r="L1" s="156">
        <v>8</v>
      </c>
      <c r="M1" s="156">
        <v>9</v>
      </c>
      <c r="N1" s="156">
        <v>10</v>
      </c>
      <c r="O1" s="156">
        <v>11</v>
      </c>
      <c r="P1" s="156">
        <v>12</v>
      </c>
      <c r="Q1" s="156">
        <v>13</v>
      </c>
      <c r="R1" s="156">
        <v>14</v>
      </c>
      <c r="S1" s="156">
        <v>15</v>
      </c>
      <c r="T1" s="156">
        <v>16</v>
      </c>
      <c r="U1" s="156">
        <v>17</v>
      </c>
      <c r="V1" s="156">
        <v>18</v>
      </c>
      <c r="W1" s="156">
        <v>19</v>
      </c>
      <c r="X1" s="156">
        <v>20</v>
      </c>
      <c r="Y1" s="156">
        <v>21</v>
      </c>
      <c r="Z1" s="156">
        <v>22</v>
      </c>
      <c r="AA1" s="156">
        <v>23</v>
      </c>
      <c r="AB1" s="156">
        <v>24</v>
      </c>
      <c r="AC1" s="156"/>
      <c r="AD1" s="156">
        <v>25</v>
      </c>
      <c r="AE1" s="156">
        <v>27</v>
      </c>
      <c r="AF1" s="156"/>
      <c r="AG1" s="156">
        <v>28</v>
      </c>
      <c r="AH1" s="156"/>
      <c r="AI1" s="156"/>
      <c r="AJ1" s="156"/>
      <c r="AK1" s="156"/>
      <c r="AL1" s="156">
        <v>28</v>
      </c>
      <c r="AM1" s="156"/>
      <c r="AN1" s="156"/>
      <c r="AO1" s="156"/>
      <c r="AP1" s="156"/>
      <c r="AQ1" s="156"/>
      <c r="AR1" s="1011" t="s">
        <v>640</v>
      </c>
    </row>
    <row r="2" spans="1:88" ht="30.75" customHeight="1">
      <c r="A2" s="1018" t="s">
        <v>641</v>
      </c>
      <c r="B2" s="1019"/>
      <c r="C2" s="1020"/>
      <c r="D2" s="1016"/>
      <c r="E2" s="1022" t="s">
        <v>642</v>
      </c>
      <c r="F2" s="1023"/>
      <c r="G2" s="1023"/>
      <c r="H2" s="1023"/>
      <c r="I2" s="1023"/>
      <c r="J2" s="1023"/>
      <c r="K2" s="1023"/>
      <c r="L2" s="1024"/>
      <c r="M2" s="1008" t="s">
        <v>643</v>
      </c>
      <c r="N2" s="1009"/>
      <c r="O2" s="1009"/>
      <c r="P2" s="1010"/>
      <c r="Q2" s="1008" t="s">
        <v>644</v>
      </c>
      <c r="R2" s="1009"/>
      <c r="S2" s="1009"/>
      <c r="T2" s="1009"/>
      <c r="U2" s="1010"/>
      <c r="V2" s="1008" t="s">
        <v>645</v>
      </c>
      <c r="W2" s="1009"/>
      <c r="X2" s="1009"/>
      <c r="Y2" s="1009"/>
      <c r="Z2" s="1010"/>
      <c r="AA2" s="1008" t="s">
        <v>646</v>
      </c>
      <c r="AB2" s="1009"/>
      <c r="AC2" s="1009"/>
      <c r="AD2" s="1009"/>
      <c r="AE2" s="1010"/>
      <c r="AF2" s="290"/>
      <c r="AG2" s="289" t="s">
        <v>647</v>
      </c>
      <c r="AH2" s="291"/>
      <c r="AI2" s="290"/>
      <c r="AJ2" s="290"/>
      <c r="AK2" s="290"/>
      <c r="AL2" s="289" t="s">
        <v>647</v>
      </c>
      <c r="AM2" s="291"/>
      <c r="AN2" s="290"/>
      <c r="AO2" s="290"/>
      <c r="AP2" s="290"/>
      <c r="AQ2" s="290"/>
      <c r="AR2" s="1011"/>
    </row>
    <row r="3" spans="1:88" ht="278.45">
      <c r="A3" s="1013" t="s">
        <v>648</v>
      </c>
      <c r="B3" s="1014"/>
      <c r="C3" s="1015"/>
      <c r="D3" s="1017"/>
      <c r="E3" s="159" t="s">
        <v>649</v>
      </c>
      <c r="F3" s="158" t="s">
        <v>431</v>
      </c>
      <c r="G3" s="158" t="s">
        <v>650</v>
      </c>
      <c r="H3" s="158" t="s">
        <v>651</v>
      </c>
      <c r="I3" s="158" t="s">
        <v>652</v>
      </c>
      <c r="J3" s="158" t="s">
        <v>653</v>
      </c>
      <c r="K3" s="158" t="s">
        <v>654</v>
      </c>
      <c r="L3" s="158" t="s">
        <v>655</v>
      </c>
      <c r="M3" s="158" t="s">
        <v>656</v>
      </c>
      <c r="N3" s="158" t="s">
        <v>657</v>
      </c>
      <c r="O3" s="158" t="s">
        <v>658</v>
      </c>
      <c r="P3" s="158" t="s">
        <v>659</v>
      </c>
      <c r="Q3" s="158" t="s">
        <v>660</v>
      </c>
      <c r="R3" s="158" t="s">
        <v>661</v>
      </c>
      <c r="S3" s="158" t="s">
        <v>662</v>
      </c>
      <c r="T3" s="158" t="s">
        <v>663</v>
      </c>
      <c r="U3" s="158" t="s">
        <v>664</v>
      </c>
      <c r="V3" s="158" t="s">
        <v>665</v>
      </c>
      <c r="W3" s="158" t="s">
        <v>666</v>
      </c>
      <c r="X3" s="158" t="s">
        <v>667</v>
      </c>
      <c r="Y3" s="158" t="s">
        <v>668</v>
      </c>
      <c r="Z3" s="158" t="s">
        <v>669</v>
      </c>
      <c r="AA3" s="158" t="s">
        <v>670</v>
      </c>
      <c r="AB3" s="158" t="s">
        <v>671</v>
      </c>
      <c r="AC3" s="158" t="s">
        <v>672</v>
      </c>
      <c r="AD3" s="158" t="s">
        <v>673</v>
      </c>
      <c r="AE3" s="158" t="s">
        <v>674</v>
      </c>
      <c r="AF3" s="158" t="s">
        <v>675</v>
      </c>
      <c r="AG3" s="158" t="s">
        <v>676</v>
      </c>
      <c r="AH3" s="158" t="s">
        <v>677</v>
      </c>
      <c r="AI3" s="158" t="s">
        <v>678</v>
      </c>
      <c r="AJ3" s="158" t="s">
        <v>679</v>
      </c>
      <c r="AK3" s="158" t="s">
        <v>680</v>
      </c>
      <c r="AL3" s="158" t="s">
        <v>681</v>
      </c>
      <c r="AM3" s="158" t="s">
        <v>682</v>
      </c>
      <c r="AN3" s="158" t="s">
        <v>683</v>
      </c>
      <c r="AO3" s="158" t="s">
        <v>684</v>
      </c>
      <c r="AP3" s="158" t="s">
        <v>685</v>
      </c>
      <c r="AQ3" s="158" t="s">
        <v>686</v>
      </c>
      <c r="AR3" s="1012"/>
      <c r="AS3" s="170"/>
      <c r="AT3" s="170"/>
      <c r="AU3" s="170"/>
      <c r="AV3" s="170"/>
      <c r="AW3" s="170"/>
      <c r="AX3" s="170"/>
      <c r="AY3" s="170"/>
      <c r="AZ3" s="170"/>
      <c r="BA3" s="170"/>
      <c r="BB3" s="170"/>
      <c r="BC3" s="170"/>
      <c r="BD3" s="170"/>
      <c r="BE3" s="170"/>
      <c r="BF3" s="170"/>
      <c r="BG3" s="170"/>
      <c r="BH3" s="170"/>
      <c r="BI3" s="170"/>
      <c r="BJ3" s="170"/>
      <c r="BK3" s="170"/>
      <c r="BL3" s="170"/>
      <c r="BM3" s="170"/>
      <c r="BN3" s="170"/>
      <c r="BO3" s="170"/>
      <c r="BP3" s="170"/>
      <c r="BQ3" s="170"/>
      <c r="BR3" s="170"/>
      <c r="BS3" s="170"/>
      <c r="BT3" s="170"/>
      <c r="BU3" s="170"/>
      <c r="BV3" s="170"/>
      <c r="BW3" s="170"/>
      <c r="BX3" s="170"/>
      <c r="BY3" s="170"/>
      <c r="BZ3" s="170"/>
      <c r="CA3" s="170"/>
      <c r="CB3" s="170"/>
      <c r="CC3" s="170"/>
      <c r="CD3" s="170"/>
      <c r="CE3" s="170"/>
      <c r="CF3" s="170"/>
      <c r="CG3" s="170"/>
      <c r="CH3" s="170"/>
      <c r="CI3" s="170"/>
      <c r="CJ3" s="170"/>
    </row>
    <row r="4" spans="1:88" s="2" customFormat="1">
      <c r="A4" s="168"/>
      <c r="B4" s="157">
        <v>1</v>
      </c>
      <c r="C4" s="169" t="s">
        <v>687</v>
      </c>
      <c r="D4" s="192" t="e">
        <f>D5*0.3</f>
        <v>#VALUE!</v>
      </c>
      <c r="E4" s="190"/>
      <c r="F4" s="190"/>
      <c r="G4" s="190"/>
      <c r="H4" s="190"/>
      <c r="I4" s="190"/>
      <c r="J4" s="190"/>
      <c r="K4" s="190"/>
      <c r="L4" s="190"/>
      <c r="M4" s="190"/>
      <c r="N4" s="190"/>
      <c r="O4" s="190"/>
      <c r="P4" s="190"/>
      <c r="Q4" s="189"/>
      <c r="R4" s="189"/>
      <c r="S4" s="189"/>
      <c r="T4" s="189"/>
      <c r="U4" s="189"/>
      <c r="V4" s="189"/>
      <c r="W4" s="189"/>
      <c r="X4" s="189"/>
      <c r="Y4" s="189"/>
      <c r="Z4" s="189"/>
      <c r="AA4" s="189"/>
      <c r="AB4" s="189"/>
      <c r="AC4" s="189"/>
      <c r="AD4" s="189"/>
      <c r="AE4" s="189"/>
      <c r="AF4" s="190"/>
      <c r="AG4" s="190"/>
      <c r="AH4" s="190"/>
      <c r="AI4" s="190"/>
      <c r="AJ4" s="190"/>
      <c r="AK4" s="190"/>
      <c r="AL4" s="190"/>
      <c r="AM4" s="190"/>
      <c r="AN4" s="190"/>
      <c r="AO4" s="190"/>
      <c r="AP4" s="190"/>
      <c r="AQ4" s="190"/>
      <c r="AR4" s="202"/>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row>
    <row r="5" spans="1:88" s="166" customFormat="1" ht="27.6">
      <c r="A5" s="168"/>
      <c r="B5" s="157">
        <v>2</v>
      </c>
      <c r="C5" s="169" t="s">
        <v>688</v>
      </c>
      <c r="D5" s="173" t="str">
        <f>IFERROR(COUNTIF(E5:AI5, TRUE)/COUNTA(E5:AI5)*100, " ")</f>
        <v xml:space="preserve"> </v>
      </c>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91"/>
      <c r="AT5" s="191"/>
      <c r="AU5" s="191"/>
      <c r="AV5" s="191"/>
      <c r="AW5" s="191"/>
      <c r="AX5" s="191"/>
      <c r="AY5" s="191"/>
      <c r="AZ5" s="191"/>
      <c r="BA5" s="191"/>
      <c r="BB5" s="191"/>
      <c r="BC5" s="191"/>
      <c r="BD5" s="191"/>
      <c r="BE5" s="191"/>
      <c r="BF5" s="191"/>
      <c r="BG5" s="191"/>
      <c r="BH5" s="191"/>
      <c r="BI5" s="191"/>
      <c r="BJ5" s="191"/>
      <c r="BK5" s="191"/>
      <c r="BL5" s="191"/>
      <c r="BM5" s="191"/>
      <c r="BN5" s="191"/>
      <c r="BO5" s="191"/>
      <c r="BP5" s="191"/>
      <c r="BQ5" s="191"/>
      <c r="BR5" s="191"/>
      <c r="BS5" s="191"/>
      <c r="BT5" s="191"/>
      <c r="BU5" s="191"/>
      <c r="BV5" s="191"/>
      <c r="BW5" s="191"/>
      <c r="BX5" s="191"/>
      <c r="BY5" s="191"/>
      <c r="BZ5" s="191"/>
      <c r="CA5" s="191"/>
      <c r="CB5" s="191"/>
      <c r="CC5" s="191"/>
      <c r="CD5" s="191"/>
      <c r="CE5" s="191"/>
      <c r="CF5" s="191"/>
      <c r="CG5" s="191"/>
      <c r="CH5" s="191"/>
      <c r="CI5" s="191"/>
      <c r="CJ5" s="191"/>
    </row>
    <row r="6" spans="1:88" s="2" customFormat="1">
      <c r="A6" s="157"/>
      <c r="B6" s="157">
        <v>3</v>
      </c>
      <c r="C6" s="160" t="s">
        <v>689</v>
      </c>
      <c r="D6" s="192" t="e">
        <f>D7*0.1</f>
        <v>#VALUE!</v>
      </c>
      <c r="E6" s="172" t="s">
        <v>690</v>
      </c>
      <c r="F6" s="172" t="s">
        <v>691</v>
      </c>
      <c r="G6" s="172" t="s">
        <v>692</v>
      </c>
      <c r="H6" s="172" t="s">
        <v>693</v>
      </c>
      <c r="I6" s="172" t="s">
        <v>694</v>
      </c>
      <c r="J6" s="172" t="s">
        <v>695</v>
      </c>
      <c r="K6" s="172" t="s">
        <v>696</v>
      </c>
      <c r="L6" s="172" t="s">
        <v>697</v>
      </c>
      <c r="M6" s="172" t="s">
        <v>698</v>
      </c>
      <c r="N6" s="172" t="s">
        <v>699</v>
      </c>
      <c r="O6" s="172" t="s">
        <v>700</v>
      </c>
      <c r="P6" s="172" t="s">
        <v>701</v>
      </c>
      <c r="Q6" s="172" t="s">
        <v>702</v>
      </c>
      <c r="R6" s="172" t="s">
        <v>703</v>
      </c>
      <c r="S6" s="172" t="s">
        <v>704</v>
      </c>
      <c r="T6" s="172" t="s">
        <v>705</v>
      </c>
      <c r="U6" s="172" t="s">
        <v>706</v>
      </c>
      <c r="V6" s="172" t="s">
        <v>707</v>
      </c>
      <c r="W6" s="172" t="s">
        <v>708</v>
      </c>
      <c r="X6" s="172" t="s">
        <v>709</v>
      </c>
      <c r="Y6" s="172" t="s">
        <v>710</v>
      </c>
      <c r="Z6" s="172" t="s">
        <v>711</v>
      </c>
      <c r="AA6" s="172" t="s">
        <v>712</v>
      </c>
      <c r="AB6" s="172" t="s">
        <v>713</v>
      </c>
      <c r="AC6" s="172" t="s">
        <v>714</v>
      </c>
      <c r="AD6" s="172" t="s">
        <v>715</v>
      </c>
      <c r="AE6" s="172" t="s">
        <v>716</v>
      </c>
      <c r="AF6" s="172" t="s">
        <v>717</v>
      </c>
      <c r="AG6" s="172" t="s">
        <v>718</v>
      </c>
      <c r="AH6" s="172" t="s">
        <v>719</v>
      </c>
      <c r="AI6" s="172" t="s">
        <v>720</v>
      </c>
      <c r="AJ6" s="172" t="s">
        <v>717</v>
      </c>
      <c r="AK6" s="172" t="s">
        <v>717</v>
      </c>
      <c r="AL6" s="172" t="s">
        <v>718</v>
      </c>
      <c r="AM6" s="172" t="s">
        <v>719</v>
      </c>
      <c r="AN6" s="172" t="s">
        <v>720</v>
      </c>
      <c r="AO6" s="172" t="s">
        <v>720</v>
      </c>
      <c r="AP6" s="172" t="s">
        <v>720</v>
      </c>
      <c r="AQ6" s="172" t="s">
        <v>720</v>
      </c>
      <c r="AR6" s="172" t="s">
        <v>721</v>
      </c>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row>
    <row r="7" spans="1:88" s="2" customFormat="1" ht="20.25" customHeight="1">
      <c r="A7" s="157"/>
      <c r="B7" s="196">
        <v>4</v>
      </c>
      <c r="C7" s="197" t="s">
        <v>722</v>
      </c>
      <c r="D7" s="198" t="str">
        <f>IFERROR(COUNTIF(E7:P7, TRUE)/COUNTA(E7:P7)*100,  " ")</f>
        <v xml:space="preserve"> </v>
      </c>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c r="AN7" s="167"/>
      <c r="AO7" s="167"/>
      <c r="AP7" s="167"/>
      <c r="AQ7" s="167"/>
      <c r="AR7" s="167"/>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row>
    <row r="8" spans="1:88" s="2" customFormat="1">
      <c r="A8" s="155"/>
      <c r="B8" s="193"/>
      <c r="C8" s="194"/>
      <c r="D8" s="195" t="e">
        <f>D4+D6</f>
        <v>#VALUE!</v>
      </c>
      <c r="E8" s="194"/>
      <c r="F8" s="194"/>
      <c r="G8" s="194"/>
      <c r="H8" s="194"/>
      <c r="I8" s="194"/>
      <c r="J8" s="194"/>
      <c r="K8" s="194"/>
      <c r="L8" s="194"/>
      <c r="M8" s="194"/>
      <c r="N8" s="194"/>
      <c r="O8" s="194"/>
      <c r="P8" s="194"/>
      <c r="Q8" s="194"/>
      <c r="R8" s="194"/>
      <c r="S8" s="194"/>
      <c r="T8" s="194"/>
      <c r="U8" s="194"/>
      <c r="V8" s="194"/>
      <c r="W8" s="194"/>
      <c r="X8" s="194"/>
      <c r="Y8" s="194"/>
      <c r="Z8" s="194"/>
      <c r="AA8" s="194"/>
      <c r="AB8" s="194"/>
      <c r="AC8" s="194"/>
      <c r="AD8" s="194"/>
      <c r="AE8" s="194"/>
      <c r="AF8" s="194"/>
      <c r="AG8" s="194"/>
      <c r="AH8" s="194"/>
      <c r="AI8" s="194"/>
      <c r="AJ8" s="194"/>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row>
    <row r="9" spans="1:88" s="2" customFormat="1">
      <c r="A9" s="155"/>
      <c r="B9" s="155"/>
      <c r="D9" s="1021"/>
      <c r="E9" s="962"/>
      <c r="F9" s="962"/>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row>
    <row r="10" spans="1:88" ht="46.5" customHeight="1">
      <c r="A10" s="1001" t="s">
        <v>422</v>
      </c>
      <c r="B10" s="1003"/>
      <c r="C10" s="300" t="s">
        <v>723</v>
      </c>
      <c r="D10" s="1001" t="s">
        <v>724</v>
      </c>
      <c r="E10" s="1002"/>
      <c r="F10" s="1002"/>
      <c r="G10" s="1002"/>
      <c r="H10" s="1002"/>
      <c r="I10" s="1002"/>
      <c r="J10" s="1002"/>
      <c r="K10" s="1002"/>
      <c r="L10" s="1002"/>
      <c r="M10" s="1002"/>
      <c r="N10" s="1003"/>
      <c r="O10" s="1001" t="s">
        <v>725</v>
      </c>
      <c r="P10" s="1002"/>
      <c r="Q10" s="1002"/>
      <c r="R10" s="1003"/>
      <c r="S10" s="1001" t="s">
        <v>726</v>
      </c>
      <c r="T10" s="1002"/>
      <c r="U10" s="1002"/>
      <c r="V10" s="1003"/>
      <c r="W10" s="1001" t="s">
        <v>727</v>
      </c>
      <c r="X10" s="1002"/>
      <c r="Y10" s="1002"/>
      <c r="Z10" s="1003"/>
      <c r="AA10" s="1001" t="s">
        <v>728</v>
      </c>
      <c r="AB10" s="1002"/>
      <c r="AC10" s="1002"/>
      <c r="AD10" s="1003"/>
      <c r="AE10" s="1001" t="s">
        <v>729</v>
      </c>
      <c r="AF10" s="1002"/>
      <c r="AG10" s="1002"/>
      <c r="AH10" s="1002"/>
      <c r="AI10" s="1002"/>
      <c r="AJ10" s="1003"/>
      <c r="AK10" s="1001" t="s">
        <v>730</v>
      </c>
      <c r="AL10" s="1002"/>
      <c r="AM10" s="1002"/>
      <c r="AN10" s="1003"/>
      <c r="AO10" s="1025" t="s">
        <v>731</v>
      </c>
      <c r="AP10" s="999"/>
      <c r="AQ10" s="999"/>
      <c r="AR10" s="999"/>
      <c r="AS10" s="999"/>
      <c r="AT10" s="1000"/>
      <c r="AU10" s="998" t="s">
        <v>732</v>
      </c>
      <c r="AV10" s="999"/>
      <c r="AW10" s="999"/>
      <c r="AX10" s="999"/>
      <c r="AY10" s="999"/>
      <c r="AZ10" s="1000"/>
      <c r="BA10" s="204"/>
      <c r="BB10" s="204"/>
    </row>
    <row r="11" spans="1:88" ht="20.25" customHeight="1">
      <c r="A11" s="983" t="s">
        <v>733</v>
      </c>
      <c r="B11" s="984"/>
      <c r="C11" s="984"/>
      <c r="D11" s="984"/>
      <c r="E11" s="984"/>
      <c r="F11" s="984"/>
      <c r="G11" s="984"/>
      <c r="H11" s="984"/>
      <c r="I11" s="984"/>
      <c r="J11" s="984"/>
      <c r="K11" s="984"/>
      <c r="L11" s="984"/>
      <c r="M11" s="984"/>
      <c r="N11" s="984"/>
      <c r="O11" s="984"/>
      <c r="P11" s="984"/>
      <c r="Q11" s="984"/>
      <c r="R11" s="984"/>
      <c r="S11" s="984"/>
      <c r="T11" s="984"/>
      <c r="U11" s="984"/>
      <c r="V11" s="984"/>
      <c r="W11" s="984"/>
      <c r="X11" s="984"/>
      <c r="Y11" s="984"/>
      <c r="Z11" s="984"/>
      <c r="AA11" s="984"/>
      <c r="AB11" s="984"/>
      <c r="AC11" s="984"/>
      <c r="AD11" s="984"/>
      <c r="AE11" s="984"/>
      <c r="AF11" s="984"/>
      <c r="AG11" s="984"/>
      <c r="AH11" s="984"/>
      <c r="AI11" s="984"/>
      <c r="AJ11" s="984"/>
      <c r="AK11" s="984"/>
      <c r="AL11" s="984"/>
      <c r="AM11" s="984"/>
      <c r="AN11" s="984"/>
      <c r="AO11" s="984"/>
      <c r="AP11" s="984"/>
      <c r="AQ11" s="984"/>
      <c r="AR11" s="984"/>
      <c r="AS11" s="984"/>
      <c r="AT11" s="984"/>
      <c r="AU11" s="984"/>
      <c r="AV11" s="984"/>
      <c r="AW11" s="984"/>
      <c r="AX11" s="984"/>
      <c r="AY11" s="984"/>
      <c r="AZ11" s="984"/>
    </row>
    <row r="12" spans="1:88" s="2" customFormat="1" ht="21.75" customHeight="1">
      <c r="A12" s="980">
        <v>1</v>
      </c>
      <c r="B12" s="205" t="s">
        <v>594</v>
      </c>
      <c r="C12" s="292" t="s">
        <v>734</v>
      </c>
      <c r="D12" s="986" t="s">
        <v>735</v>
      </c>
      <c r="E12" s="987"/>
      <c r="F12" s="987"/>
      <c r="G12" s="987"/>
      <c r="H12" s="987"/>
      <c r="I12" s="987"/>
      <c r="J12" s="987"/>
      <c r="K12" s="987"/>
      <c r="L12" s="987"/>
      <c r="M12" s="987"/>
      <c r="N12" s="988"/>
      <c r="O12" s="947">
        <v>2</v>
      </c>
      <c r="P12" s="948"/>
      <c r="Q12" s="948"/>
      <c r="R12" s="949"/>
      <c r="S12" s="931">
        <v>45898</v>
      </c>
      <c r="T12" s="932"/>
      <c r="U12" s="932"/>
      <c r="V12" s="933"/>
      <c r="W12" s="931">
        <f>S12+1</f>
        <v>45899</v>
      </c>
      <c r="X12" s="932"/>
      <c r="Y12" s="932"/>
      <c r="Z12" s="933"/>
      <c r="AA12" s="1004"/>
      <c r="AB12" s="932"/>
      <c r="AC12" s="932"/>
      <c r="AD12" s="933"/>
      <c r="AE12" s="1004"/>
      <c r="AF12" s="932"/>
      <c r="AG12" s="932"/>
      <c r="AH12" s="932"/>
      <c r="AI12" s="932"/>
      <c r="AJ12" s="933"/>
      <c r="AK12" s="947" t="s">
        <v>430</v>
      </c>
      <c r="AL12" s="948"/>
      <c r="AM12" s="948"/>
      <c r="AN12" s="949"/>
      <c r="AO12" s="963"/>
      <c r="AP12" s="964"/>
      <c r="AQ12" s="964"/>
      <c r="AR12" s="964"/>
      <c r="AS12" s="964"/>
      <c r="AT12" s="965"/>
      <c r="AU12" s="963"/>
      <c r="AV12" s="964"/>
      <c r="AW12" s="964"/>
      <c r="AX12" s="964"/>
      <c r="AY12" s="964"/>
      <c r="AZ12" s="965"/>
      <c r="BA12" s="303"/>
      <c r="BB12" s="303"/>
    </row>
    <row r="13" spans="1:88" s="2" customFormat="1" ht="18.75" customHeight="1">
      <c r="A13" s="981"/>
      <c r="B13" s="205" t="s">
        <v>597</v>
      </c>
      <c r="C13" s="292" t="s">
        <v>431</v>
      </c>
      <c r="D13" s="943" t="s">
        <v>736</v>
      </c>
      <c r="E13" s="944"/>
      <c r="F13" s="944"/>
      <c r="G13" s="944"/>
      <c r="H13" s="944"/>
      <c r="I13" s="944"/>
      <c r="J13" s="944"/>
      <c r="K13" s="944"/>
      <c r="L13" s="944"/>
      <c r="M13" s="944"/>
      <c r="N13" s="945"/>
      <c r="O13" s="947">
        <v>2</v>
      </c>
      <c r="P13" s="948"/>
      <c r="Q13" s="948"/>
      <c r="R13" s="949"/>
      <c r="S13" s="940"/>
      <c r="T13" s="941"/>
      <c r="U13" s="941"/>
      <c r="V13" s="942"/>
      <c r="W13" s="940"/>
      <c r="X13" s="941"/>
      <c r="Y13" s="941"/>
      <c r="Z13" s="942"/>
      <c r="AA13" s="940"/>
      <c r="AB13" s="941"/>
      <c r="AC13" s="941"/>
      <c r="AD13" s="942"/>
      <c r="AE13" s="940"/>
      <c r="AF13" s="941"/>
      <c r="AG13" s="941"/>
      <c r="AH13" s="941"/>
      <c r="AI13" s="941"/>
      <c r="AJ13" s="942"/>
      <c r="AK13" s="947" t="s">
        <v>430</v>
      </c>
      <c r="AL13" s="948"/>
      <c r="AM13" s="948"/>
      <c r="AN13" s="949"/>
      <c r="AO13" s="963"/>
      <c r="AP13" s="964"/>
      <c r="AQ13" s="964"/>
      <c r="AR13" s="964"/>
      <c r="AS13" s="964"/>
      <c r="AT13" s="965"/>
      <c r="AU13" s="963"/>
      <c r="AV13" s="964"/>
      <c r="AW13" s="964"/>
      <c r="AX13" s="964"/>
      <c r="AY13" s="964"/>
      <c r="AZ13" s="965"/>
      <c r="BA13" s="303"/>
      <c r="BB13" s="303"/>
    </row>
    <row r="14" spans="1:88" s="2" customFormat="1" ht="21" customHeight="1">
      <c r="A14" s="981"/>
      <c r="B14" s="205" t="s">
        <v>440</v>
      </c>
      <c r="C14" s="982" t="s">
        <v>737</v>
      </c>
      <c r="D14" s="943" t="s">
        <v>738</v>
      </c>
      <c r="E14" s="944"/>
      <c r="F14" s="944"/>
      <c r="G14" s="944"/>
      <c r="H14" s="944"/>
      <c r="I14" s="944"/>
      <c r="J14" s="944"/>
      <c r="K14" s="944"/>
      <c r="L14" s="944"/>
      <c r="M14" s="944"/>
      <c r="N14" s="945"/>
      <c r="O14" s="947">
        <v>2</v>
      </c>
      <c r="P14" s="948"/>
      <c r="Q14" s="948"/>
      <c r="R14" s="949"/>
      <c r="S14" s="940"/>
      <c r="T14" s="941"/>
      <c r="U14" s="941"/>
      <c r="V14" s="942"/>
      <c r="W14" s="940"/>
      <c r="X14" s="941"/>
      <c r="Y14" s="941"/>
      <c r="Z14" s="942"/>
      <c r="AA14" s="940"/>
      <c r="AB14" s="941"/>
      <c r="AC14" s="941"/>
      <c r="AD14" s="942"/>
      <c r="AE14" s="940"/>
      <c r="AF14" s="941"/>
      <c r="AG14" s="941"/>
      <c r="AH14" s="941"/>
      <c r="AI14" s="941"/>
      <c r="AJ14" s="942"/>
      <c r="AK14" s="947" t="s">
        <v>430</v>
      </c>
      <c r="AL14" s="948"/>
      <c r="AM14" s="948"/>
      <c r="AN14" s="949"/>
      <c r="AO14" s="963"/>
      <c r="AP14" s="964"/>
      <c r="AQ14" s="964"/>
      <c r="AR14" s="964"/>
      <c r="AS14" s="964"/>
      <c r="AT14" s="965"/>
      <c r="AU14" s="963"/>
      <c r="AV14" s="964"/>
      <c r="AW14" s="964"/>
      <c r="AX14" s="964"/>
      <c r="AY14" s="964"/>
      <c r="AZ14" s="965"/>
      <c r="BA14" s="303"/>
      <c r="BB14" s="303"/>
    </row>
    <row r="15" spans="1:88" s="2" customFormat="1" ht="22.5" customHeight="1">
      <c r="A15" s="981"/>
      <c r="B15" s="205" t="s">
        <v>444</v>
      </c>
      <c r="C15" s="967"/>
      <c r="D15" s="995" t="s">
        <v>739</v>
      </c>
      <c r="E15" s="996"/>
      <c r="F15" s="996"/>
      <c r="G15" s="996"/>
      <c r="H15" s="996"/>
      <c r="I15" s="996"/>
      <c r="J15" s="996"/>
      <c r="K15" s="996"/>
      <c r="L15" s="996"/>
      <c r="M15" s="996"/>
      <c r="N15" s="997"/>
      <c r="O15" s="947">
        <v>2</v>
      </c>
      <c r="P15" s="948"/>
      <c r="Q15" s="948"/>
      <c r="R15" s="949"/>
      <c r="S15" s="953"/>
      <c r="T15" s="954"/>
      <c r="U15" s="954"/>
      <c r="V15" s="955"/>
      <c r="W15" s="953"/>
      <c r="X15" s="954"/>
      <c r="Y15" s="954"/>
      <c r="Z15" s="955"/>
      <c r="AA15" s="953"/>
      <c r="AB15" s="954"/>
      <c r="AC15" s="954"/>
      <c r="AD15" s="955"/>
      <c r="AE15" s="953"/>
      <c r="AF15" s="954"/>
      <c r="AG15" s="954"/>
      <c r="AH15" s="954"/>
      <c r="AI15" s="954"/>
      <c r="AJ15" s="955"/>
      <c r="AK15" s="947" t="s">
        <v>430</v>
      </c>
      <c r="AL15" s="948"/>
      <c r="AM15" s="948"/>
      <c r="AN15" s="949"/>
      <c r="AO15" s="963"/>
      <c r="AP15" s="964"/>
      <c r="AQ15" s="964"/>
      <c r="AR15" s="964"/>
      <c r="AS15" s="964"/>
      <c r="AT15" s="965"/>
      <c r="AU15" s="963"/>
      <c r="AV15" s="964"/>
      <c r="AW15" s="964"/>
      <c r="AX15" s="964"/>
      <c r="AY15" s="964"/>
      <c r="AZ15" s="965"/>
      <c r="BA15" s="303"/>
      <c r="BB15" s="303"/>
    </row>
    <row r="16" spans="1:88" s="2" customFormat="1" ht="21" customHeight="1">
      <c r="A16" s="981"/>
      <c r="B16" s="205" t="s">
        <v>447</v>
      </c>
      <c r="C16" s="982" t="s">
        <v>740</v>
      </c>
      <c r="D16" s="943" t="s">
        <v>741</v>
      </c>
      <c r="E16" s="944"/>
      <c r="F16" s="944"/>
      <c r="G16" s="944"/>
      <c r="H16" s="944"/>
      <c r="I16" s="944"/>
      <c r="J16" s="944"/>
      <c r="K16" s="944"/>
      <c r="L16" s="944"/>
      <c r="M16" s="944"/>
      <c r="N16" s="945"/>
      <c r="O16" s="947">
        <v>4</v>
      </c>
      <c r="P16" s="948"/>
      <c r="Q16" s="948"/>
      <c r="R16" s="949"/>
      <c r="S16" s="931">
        <f>W12</f>
        <v>45899</v>
      </c>
      <c r="T16" s="932"/>
      <c r="U16" s="932"/>
      <c r="V16" s="933"/>
      <c r="W16" s="931">
        <f>S16+1</f>
        <v>45900</v>
      </c>
      <c r="X16" s="932"/>
      <c r="Y16" s="932"/>
      <c r="Z16" s="933"/>
      <c r="AA16" s="993"/>
      <c r="AB16" s="932"/>
      <c r="AC16" s="932"/>
      <c r="AD16" s="933"/>
      <c r="AE16" s="931"/>
      <c r="AF16" s="932"/>
      <c r="AG16" s="932"/>
      <c r="AH16" s="932"/>
      <c r="AI16" s="932"/>
      <c r="AJ16" s="933"/>
      <c r="AK16" s="947" t="s">
        <v>430</v>
      </c>
      <c r="AL16" s="948"/>
      <c r="AM16" s="948"/>
      <c r="AN16" s="949"/>
      <c r="AO16" s="963"/>
      <c r="AP16" s="964"/>
      <c r="AQ16" s="964"/>
      <c r="AR16" s="964"/>
      <c r="AS16" s="964"/>
      <c r="AT16" s="965"/>
      <c r="AU16" s="963"/>
      <c r="AV16" s="964"/>
      <c r="AW16" s="964"/>
      <c r="AX16" s="964"/>
      <c r="AY16" s="964"/>
      <c r="AZ16" s="965"/>
      <c r="BA16" s="303"/>
      <c r="BB16" s="303"/>
    </row>
    <row r="17" spans="1:88" s="2" customFormat="1" ht="20.25" customHeight="1">
      <c r="A17" s="981"/>
      <c r="B17" s="205" t="s">
        <v>450</v>
      </c>
      <c r="C17" s="967"/>
      <c r="D17" s="943" t="s">
        <v>742</v>
      </c>
      <c r="E17" s="944"/>
      <c r="F17" s="944"/>
      <c r="G17" s="944"/>
      <c r="H17" s="944"/>
      <c r="I17" s="944"/>
      <c r="J17" s="944"/>
      <c r="K17" s="944"/>
      <c r="L17" s="944"/>
      <c r="M17" s="944"/>
      <c r="N17" s="945"/>
      <c r="O17" s="947">
        <v>4</v>
      </c>
      <c r="P17" s="948"/>
      <c r="Q17" s="948"/>
      <c r="R17" s="949"/>
      <c r="S17" s="940"/>
      <c r="T17" s="941"/>
      <c r="U17" s="941"/>
      <c r="V17" s="942"/>
      <c r="W17" s="940"/>
      <c r="X17" s="941"/>
      <c r="Y17" s="941"/>
      <c r="Z17" s="942"/>
      <c r="AA17" s="953"/>
      <c r="AB17" s="954"/>
      <c r="AC17" s="954"/>
      <c r="AD17" s="955"/>
      <c r="AE17" s="953"/>
      <c r="AF17" s="954"/>
      <c r="AG17" s="954"/>
      <c r="AH17" s="954"/>
      <c r="AI17" s="954"/>
      <c r="AJ17" s="955"/>
      <c r="AK17" s="947" t="s">
        <v>430</v>
      </c>
      <c r="AL17" s="948"/>
      <c r="AM17" s="948"/>
      <c r="AN17" s="949"/>
      <c r="AO17" s="963"/>
      <c r="AP17" s="964"/>
      <c r="AQ17" s="964"/>
      <c r="AR17" s="964"/>
      <c r="AS17" s="964"/>
      <c r="AT17" s="965"/>
      <c r="AU17" s="963"/>
      <c r="AV17" s="964"/>
      <c r="AW17" s="964"/>
      <c r="AX17" s="964"/>
      <c r="AY17" s="964"/>
      <c r="AZ17" s="965"/>
      <c r="BA17" s="303"/>
      <c r="BB17" s="303"/>
    </row>
    <row r="18" spans="1:88" s="2" customFormat="1" ht="19.5" customHeight="1">
      <c r="A18" s="981"/>
      <c r="B18" s="205" t="s">
        <v>453</v>
      </c>
      <c r="C18" s="982" t="s">
        <v>652</v>
      </c>
      <c r="D18" s="943" t="s">
        <v>743</v>
      </c>
      <c r="E18" s="944"/>
      <c r="F18" s="944"/>
      <c r="G18" s="944"/>
      <c r="H18" s="944"/>
      <c r="I18" s="944"/>
      <c r="J18" s="944"/>
      <c r="K18" s="944"/>
      <c r="L18" s="944"/>
      <c r="M18" s="944"/>
      <c r="N18" s="945"/>
      <c r="O18" s="947">
        <v>4</v>
      </c>
      <c r="P18" s="948"/>
      <c r="Q18" s="948"/>
      <c r="R18" s="949"/>
      <c r="S18" s="931">
        <f>W16</f>
        <v>45900</v>
      </c>
      <c r="T18" s="932"/>
      <c r="U18" s="932"/>
      <c r="V18" s="933"/>
      <c r="W18" s="931">
        <f t="shared" ref="W18" si="0">S18+1</f>
        <v>45901</v>
      </c>
      <c r="X18" s="932"/>
      <c r="Y18" s="932"/>
      <c r="Z18" s="933"/>
      <c r="AA18" s="993"/>
      <c r="AB18" s="932"/>
      <c r="AC18" s="932"/>
      <c r="AD18" s="933"/>
      <c r="AE18" s="931"/>
      <c r="AF18" s="932"/>
      <c r="AG18" s="932"/>
      <c r="AH18" s="932"/>
      <c r="AI18" s="932"/>
      <c r="AJ18" s="933"/>
      <c r="AK18" s="947" t="s">
        <v>744</v>
      </c>
      <c r="AL18" s="948"/>
      <c r="AM18" s="948"/>
      <c r="AN18" s="949"/>
      <c r="AO18" s="963"/>
      <c r="AP18" s="964"/>
      <c r="AQ18" s="964"/>
      <c r="AR18" s="964"/>
      <c r="AS18" s="964"/>
      <c r="AT18" s="965"/>
      <c r="AU18" s="963"/>
      <c r="AV18" s="964"/>
      <c r="AW18" s="964"/>
      <c r="AX18" s="964"/>
      <c r="AY18" s="964"/>
      <c r="AZ18" s="965"/>
      <c r="BA18" s="303"/>
      <c r="BB18" s="303"/>
    </row>
    <row r="19" spans="1:88" s="2" customFormat="1" ht="19.5" customHeight="1">
      <c r="A19" s="981"/>
      <c r="B19" s="205" t="s">
        <v>456</v>
      </c>
      <c r="C19" s="966"/>
      <c r="D19" s="943" t="s">
        <v>745</v>
      </c>
      <c r="E19" s="944"/>
      <c r="F19" s="944"/>
      <c r="G19" s="944"/>
      <c r="H19" s="944"/>
      <c r="I19" s="944"/>
      <c r="J19" s="944"/>
      <c r="K19" s="944"/>
      <c r="L19" s="944"/>
      <c r="M19" s="944"/>
      <c r="N19" s="945"/>
      <c r="O19" s="947">
        <v>4</v>
      </c>
      <c r="P19" s="948"/>
      <c r="Q19" s="948"/>
      <c r="R19" s="949"/>
      <c r="S19" s="940"/>
      <c r="T19" s="941"/>
      <c r="U19" s="941"/>
      <c r="V19" s="942"/>
      <c r="W19" s="940"/>
      <c r="X19" s="941"/>
      <c r="Y19" s="941"/>
      <c r="Z19" s="942"/>
      <c r="AA19" s="994"/>
      <c r="AB19" s="941"/>
      <c r="AC19" s="941"/>
      <c r="AD19" s="942"/>
      <c r="AE19" s="940"/>
      <c r="AF19" s="941"/>
      <c r="AG19" s="941"/>
      <c r="AH19" s="941"/>
      <c r="AI19" s="941"/>
      <c r="AJ19" s="942"/>
      <c r="AK19" s="306"/>
      <c r="AL19" s="307"/>
      <c r="AM19" s="307"/>
      <c r="AN19" s="308"/>
      <c r="AO19" s="309"/>
      <c r="AP19" s="310"/>
      <c r="AQ19" s="310"/>
      <c r="AR19" s="310"/>
      <c r="AS19" s="310"/>
      <c r="AT19" s="311"/>
      <c r="AU19" s="309"/>
      <c r="AV19" s="310"/>
      <c r="AW19" s="310"/>
      <c r="AX19" s="310"/>
      <c r="AY19" s="310"/>
      <c r="AZ19" s="311"/>
      <c r="BA19" s="303"/>
      <c r="BB19" s="303"/>
    </row>
    <row r="20" spans="1:88" s="2" customFormat="1" ht="19.5" customHeight="1">
      <c r="A20" s="981"/>
      <c r="B20" s="205" t="s">
        <v>459</v>
      </c>
      <c r="C20" s="966" t="s">
        <v>746</v>
      </c>
      <c r="D20" s="943" t="s">
        <v>747</v>
      </c>
      <c r="E20" s="944"/>
      <c r="F20" s="944"/>
      <c r="G20" s="944"/>
      <c r="H20" s="944"/>
      <c r="I20" s="944"/>
      <c r="J20" s="944"/>
      <c r="K20" s="944"/>
      <c r="L20" s="944"/>
      <c r="M20" s="944"/>
      <c r="N20" s="945"/>
      <c r="O20" s="947">
        <v>5</v>
      </c>
      <c r="P20" s="948"/>
      <c r="Q20" s="948"/>
      <c r="R20" s="949"/>
      <c r="S20" s="940"/>
      <c r="T20" s="941"/>
      <c r="U20" s="941"/>
      <c r="V20" s="942"/>
      <c r="W20" s="940"/>
      <c r="X20" s="941"/>
      <c r="Y20" s="941"/>
      <c r="Z20" s="942"/>
      <c r="AA20" s="994"/>
      <c r="AB20" s="941"/>
      <c r="AC20" s="941"/>
      <c r="AD20" s="942"/>
      <c r="AE20" s="940"/>
      <c r="AF20" s="941"/>
      <c r="AG20" s="941"/>
      <c r="AH20" s="941"/>
      <c r="AI20" s="941"/>
      <c r="AJ20" s="942"/>
      <c r="AK20" s="306"/>
      <c r="AL20" s="307"/>
      <c r="AM20" s="307"/>
      <c r="AN20" s="308"/>
      <c r="AO20" s="309"/>
      <c r="AP20" s="310"/>
      <c r="AQ20" s="310"/>
      <c r="AR20" s="310"/>
      <c r="AS20" s="310"/>
      <c r="AT20" s="311"/>
      <c r="AU20" s="309"/>
      <c r="AV20" s="310"/>
      <c r="AW20" s="310"/>
      <c r="AX20" s="310"/>
      <c r="AY20" s="310"/>
      <c r="AZ20" s="311"/>
      <c r="BA20" s="303"/>
      <c r="BB20" s="303"/>
    </row>
    <row r="21" spans="1:88" s="2" customFormat="1" ht="19.5" customHeight="1">
      <c r="A21" s="981"/>
      <c r="B21" s="205" t="s">
        <v>461</v>
      </c>
      <c r="C21" s="966"/>
      <c r="D21" s="943" t="s">
        <v>748</v>
      </c>
      <c r="E21" s="944"/>
      <c r="F21" s="944"/>
      <c r="G21" s="944"/>
      <c r="H21" s="944"/>
      <c r="I21" s="944"/>
      <c r="J21" s="944"/>
      <c r="K21" s="944"/>
      <c r="L21" s="944"/>
      <c r="M21" s="944"/>
      <c r="N21" s="945"/>
      <c r="O21" s="947">
        <v>6</v>
      </c>
      <c r="P21" s="948"/>
      <c r="Q21" s="948"/>
      <c r="R21" s="949"/>
      <c r="S21" s="940"/>
      <c r="T21" s="941"/>
      <c r="U21" s="941"/>
      <c r="V21" s="942"/>
      <c r="W21" s="940"/>
      <c r="X21" s="941"/>
      <c r="Y21" s="941"/>
      <c r="Z21" s="942"/>
      <c r="AA21" s="994"/>
      <c r="AB21" s="941"/>
      <c r="AC21" s="941"/>
      <c r="AD21" s="942"/>
      <c r="AE21" s="940"/>
      <c r="AF21" s="941"/>
      <c r="AG21" s="941"/>
      <c r="AH21" s="941"/>
      <c r="AI21" s="941"/>
      <c r="AJ21" s="942"/>
      <c r="AK21" s="306"/>
      <c r="AL21" s="307"/>
      <c r="AM21" s="307"/>
      <c r="AN21" s="308"/>
      <c r="AO21" s="309"/>
      <c r="AP21" s="310"/>
      <c r="AQ21" s="310"/>
      <c r="AR21" s="310"/>
      <c r="AS21" s="310"/>
      <c r="AT21" s="311"/>
      <c r="AU21" s="309"/>
      <c r="AV21" s="310"/>
      <c r="AW21" s="310"/>
      <c r="AX21" s="310"/>
      <c r="AY21" s="310"/>
      <c r="AZ21" s="311"/>
      <c r="BA21" s="303"/>
      <c r="BB21" s="303"/>
    </row>
    <row r="22" spans="1:88" s="2" customFormat="1" ht="20.25" customHeight="1">
      <c r="A22" s="981"/>
      <c r="B22" s="205" t="s">
        <v>463</v>
      </c>
      <c r="C22" s="966"/>
      <c r="D22" s="943" t="s">
        <v>749</v>
      </c>
      <c r="E22" s="944"/>
      <c r="F22" s="944"/>
      <c r="G22" s="944"/>
      <c r="H22" s="944"/>
      <c r="I22" s="944"/>
      <c r="J22" s="944"/>
      <c r="K22" s="944"/>
      <c r="L22" s="944"/>
      <c r="M22" s="944"/>
      <c r="N22" s="945"/>
      <c r="O22" s="947">
        <v>7</v>
      </c>
      <c r="P22" s="948"/>
      <c r="Q22" s="948"/>
      <c r="R22" s="949"/>
      <c r="S22" s="940"/>
      <c r="T22" s="941"/>
      <c r="U22" s="941"/>
      <c r="V22" s="942"/>
      <c r="W22" s="940"/>
      <c r="X22" s="941"/>
      <c r="Y22" s="941"/>
      <c r="Z22" s="942"/>
      <c r="AA22" s="940"/>
      <c r="AB22" s="941"/>
      <c r="AC22" s="941"/>
      <c r="AD22" s="942"/>
      <c r="AE22" s="940"/>
      <c r="AF22" s="941"/>
      <c r="AG22" s="941"/>
      <c r="AH22" s="941"/>
      <c r="AI22" s="941"/>
      <c r="AJ22" s="942"/>
      <c r="AK22" s="947" t="s">
        <v>744</v>
      </c>
      <c r="AL22" s="948"/>
      <c r="AM22" s="948"/>
      <c r="AN22" s="949"/>
      <c r="AO22" s="963"/>
      <c r="AP22" s="964"/>
      <c r="AQ22" s="964"/>
      <c r="AR22" s="964"/>
      <c r="AS22" s="964"/>
      <c r="AT22" s="965"/>
      <c r="AU22" s="956"/>
      <c r="AV22" s="957"/>
      <c r="AW22" s="957"/>
      <c r="AX22" s="957"/>
      <c r="AY22" s="957"/>
      <c r="AZ22" s="958"/>
      <c r="BA22" s="303"/>
      <c r="BB22" s="303"/>
    </row>
    <row r="23" spans="1:88" s="2" customFormat="1" ht="20.25" customHeight="1">
      <c r="A23" s="981"/>
      <c r="B23" s="205" t="s">
        <v>465</v>
      </c>
      <c r="C23" s="966" t="s">
        <v>426</v>
      </c>
      <c r="D23" s="934" t="s">
        <v>750</v>
      </c>
      <c r="E23" s="935"/>
      <c r="F23" s="935"/>
      <c r="G23" s="935"/>
      <c r="H23" s="935"/>
      <c r="I23" s="935"/>
      <c r="J23" s="935"/>
      <c r="K23" s="935"/>
      <c r="L23" s="935"/>
      <c r="M23" s="935"/>
      <c r="N23" s="936"/>
      <c r="O23" s="937">
        <v>2</v>
      </c>
      <c r="P23" s="938"/>
      <c r="Q23" s="938"/>
      <c r="R23" s="939"/>
      <c r="S23" s="931">
        <f t="shared" ref="S23" si="1">W18</f>
        <v>45901</v>
      </c>
      <c r="T23" s="932"/>
      <c r="U23" s="932"/>
      <c r="V23" s="933"/>
      <c r="W23" s="931">
        <f t="shared" ref="W23" si="2">S23+1</f>
        <v>45902</v>
      </c>
      <c r="X23" s="932"/>
      <c r="Y23" s="932"/>
      <c r="Z23" s="933"/>
      <c r="AA23" s="940"/>
      <c r="AB23" s="941"/>
      <c r="AC23" s="941"/>
      <c r="AD23" s="942"/>
      <c r="AE23" s="940"/>
      <c r="AF23" s="941"/>
      <c r="AG23" s="941"/>
      <c r="AH23" s="941"/>
      <c r="AI23" s="941"/>
      <c r="AJ23" s="942"/>
      <c r="AK23" s="947" t="s">
        <v>430</v>
      </c>
      <c r="AL23" s="948"/>
      <c r="AM23" s="948"/>
      <c r="AN23" s="949"/>
      <c r="AO23" s="956"/>
      <c r="AP23" s="957"/>
      <c r="AQ23" s="957"/>
      <c r="AR23" s="957"/>
      <c r="AS23" s="957"/>
      <c r="AT23" s="958"/>
      <c r="AU23" s="963"/>
      <c r="AV23" s="964"/>
      <c r="AW23" s="964"/>
      <c r="AX23" s="964"/>
      <c r="AY23" s="964"/>
      <c r="AZ23" s="965"/>
      <c r="BA23" s="303"/>
      <c r="BB23" s="303"/>
    </row>
    <row r="24" spans="1:88" s="2" customFormat="1" ht="18.75" customHeight="1">
      <c r="A24" s="981"/>
      <c r="B24" s="205" t="s">
        <v>467</v>
      </c>
      <c r="C24" s="967"/>
      <c r="D24" s="934" t="s">
        <v>301</v>
      </c>
      <c r="E24" s="935"/>
      <c r="F24" s="935"/>
      <c r="G24" s="935"/>
      <c r="H24" s="935"/>
      <c r="I24" s="935"/>
      <c r="J24" s="935"/>
      <c r="K24" s="935"/>
      <c r="L24" s="935"/>
      <c r="M24" s="935"/>
      <c r="N24" s="936"/>
      <c r="O24" s="937">
        <v>6</v>
      </c>
      <c r="P24" s="938"/>
      <c r="Q24" s="938"/>
      <c r="R24" s="939"/>
      <c r="S24" s="940"/>
      <c r="T24" s="941"/>
      <c r="U24" s="941"/>
      <c r="V24" s="942"/>
      <c r="W24" s="940"/>
      <c r="X24" s="941"/>
      <c r="Y24" s="941"/>
      <c r="Z24" s="942"/>
      <c r="AA24" s="953"/>
      <c r="AB24" s="954"/>
      <c r="AC24" s="954"/>
      <c r="AD24" s="955"/>
      <c r="AE24" s="953"/>
      <c r="AF24" s="954"/>
      <c r="AG24" s="954"/>
      <c r="AH24" s="954"/>
      <c r="AI24" s="954"/>
      <c r="AJ24" s="955"/>
      <c r="AK24" s="947" t="s">
        <v>430</v>
      </c>
      <c r="AL24" s="948"/>
      <c r="AM24" s="948"/>
      <c r="AN24" s="949"/>
      <c r="AO24" s="956"/>
      <c r="AP24" s="957"/>
      <c r="AQ24" s="957"/>
      <c r="AR24" s="957"/>
      <c r="AS24" s="957"/>
      <c r="AT24" s="958"/>
      <c r="AU24" s="963"/>
      <c r="AV24" s="964"/>
      <c r="AW24" s="964"/>
      <c r="AX24" s="964"/>
      <c r="AY24" s="964"/>
      <c r="AZ24" s="965"/>
      <c r="BA24" s="303"/>
      <c r="BB24" s="303"/>
    </row>
    <row r="25" spans="1:88" s="2" customFormat="1" ht="16.5" customHeight="1">
      <c r="A25" s="301" t="s">
        <v>751</v>
      </c>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2"/>
      <c r="AS25" s="302"/>
      <c r="AT25" s="302"/>
      <c r="AU25" s="302"/>
      <c r="AV25" s="302"/>
      <c r="AW25" s="302"/>
      <c r="AX25" s="302"/>
      <c r="AY25" s="302"/>
      <c r="AZ25" s="302"/>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row>
    <row r="26" spans="1:88" s="2" customFormat="1" ht="16.5" customHeight="1">
      <c r="A26" s="980">
        <v>2</v>
      </c>
      <c r="B26" s="205" t="s">
        <v>499</v>
      </c>
      <c r="C26" s="982" t="s">
        <v>752</v>
      </c>
      <c r="D26" s="943" t="s">
        <v>753</v>
      </c>
      <c r="E26" s="944"/>
      <c r="F26" s="944"/>
      <c r="G26" s="944"/>
      <c r="H26" s="944"/>
      <c r="I26" s="944"/>
      <c r="J26" s="944"/>
      <c r="K26" s="944"/>
      <c r="L26" s="944"/>
      <c r="M26" s="944"/>
      <c r="N26" s="945"/>
      <c r="O26" s="947">
        <v>8</v>
      </c>
      <c r="P26" s="948"/>
      <c r="Q26" s="948"/>
      <c r="R26" s="949"/>
      <c r="S26" s="931">
        <f>W23</f>
        <v>45902</v>
      </c>
      <c r="T26" s="932"/>
      <c r="U26" s="932"/>
      <c r="V26" s="933"/>
      <c r="W26" s="931">
        <f>S26+1</f>
        <v>45903</v>
      </c>
      <c r="X26" s="932"/>
      <c r="Y26" s="932"/>
      <c r="Z26" s="933"/>
      <c r="AA26" s="931"/>
      <c r="AB26" s="932"/>
      <c r="AC26" s="932"/>
      <c r="AD26" s="933"/>
      <c r="AE26" s="931"/>
      <c r="AF26" s="932"/>
      <c r="AG26" s="932"/>
      <c r="AH26" s="932"/>
      <c r="AI26" s="932"/>
      <c r="AJ26" s="933"/>
      <c r="AK26" s="947" t="s">
        <v>430</v>
      </c>
      <c r="AL26" s="948"/>
      <c r="AM26" s="948"/>
      <c r="AN26" s="949"/>
      <c r="AO26" s="956"/>
      <c r="AP26" s="957"/>
      <c r="AQ26" s="957"/>
      <c r="AR26" s="957"/>
      <c r="AS26" s="957"/>
      <c r="AT26" s="958"/>
      <c r="AU26" s="956"/>
      <c r="AV26" s="957"/>
      <c r="AW26" s="957"/>
      <c r="AX26" s="957"/>
      <c r="AY26" s="957"/>
      <c r="AZ26" s="958"/>
      <c r="BA26" s="303"/>
      <c r="BB26" s="303"/>
    </row>
    <row r="27" spans="1:88" s="2" customFormat="1" ht="18" customHeight="1">
      <c r="A27" s="981"/>
      <c r="B27" s="205" t="s">
        <v>501</v>
      </c>
      <c r="C27" s="966"/>
      <c r="D27" s="943" t="s">
        <v>754</v>
      </c>
      <c r="E27" s="944"/>
      <c r="F27" s="944"/>
      <c r="G27" s="944"/>
      <c r="H27" s="944"/>
      <c r="I27" s="944"/>
      <c r="J27" s="944"/>
      <c r="K27" s="944"/>
      <c r="L27" s="944"/>
      <c r="M27" s="944"/>
      <c r="N27" s="945"/>
      <c r="O27" s="947">
        <v>4</v>
      </c>
      <c r="P27" s="948"/>
      <c r="Q27" s="948"/>
      <c r="R27" s="949"/>
      <c r="S27" s="940">
        <f>W26+2</f>
        <v>45905</v>
      </c>
      <c r="T27" s="941"/>
      <c r="U27" s="941"/>
      <c r="V27" s="942"/>
      <c r="W27" s="940">
        <f>S27+1</f>
        <v>45906</v>
      </c>
      <c r="X27" s="941"/>
      <c r="Y27" s="941"/>
      <c r="Z27" s="942"/>
      <c r="AA27" s="940"/>
      <c r="AB27" s="941"/>
      <c r="AC27" s="941"/>
      <c r="AD27" s="942"/>
      <c r="AE27" s="940"/>
      <c r="AF27" s="941"/>
      <c r="AG27" s="941"/>
      <c r="AH27" s="941"/>
      <c r="AI27" s="941"/>
      <c r="AJ27" s="942"/>
      <c r="AK27" s="947" t="s">
        <v>430</v>
      </c>
      <c r="AL27" s="948"/>
      <c r="AM27" s="948"/>
      <c r="AN27" s="949"/>
      <c r="AO27" s="956"/>
      <c r="AP27" s="957"/>
      <c r="AQ27" s="957"/>
      <c r="AR27" s="957"/>
      <c r="AS27" s="957"/>
      <c r="AT27" s="958"/>
      <c r="AU27" s="956"/>
      <c r="AV27" s="957"/>
      <c r="AW27" s="957"/>
      <c r="AX27" s="957"/>
      <c r="AY27" s="957"/>
      <c r="AZ27" s="958"/>
      <c r="BA27" s="303"/>
      <c r="BB27" s="303"/>
    </row>
    <row r="28" spans="1:88" s="2" customFormat="1">
      <c r="A28" s="981"/>
      <c r="B28" s="205" t="s">
        <v>503</v>
      </c>
      <c r="C28" s="966"/>
      <c r="D28" s="943" t="s">
        <v>755</v>
      </c>
      <c r="E28" s="944"/>
      <c r="F28" s="944"/>
      <c r="G28" s="944"/>
      <c r="H28" s="944"/>
      <c r="I28" s="944"/>
      <c r="J28" s="944"/>
      <c r="K28" s="944"/>
      <c r="L28" s="944"/>
      <c r="M28" s="944"/>
      <c r="N28" s="945"/>
      <c r="O28" s="947">
        <v>4</v>
      </c>
      <c r="P28" s="948"/>
      <c r="Q28" s="948"/>
      <c r="R28" s="949"/>
      <c r="S28" s="940"/>
      <c r="T28" s="941"/>
      <c r="U28" s="941"/>
      <c r="V28" s="942"/>
      <c r="W28" s="940"/>
      <c r="X28" s="941"/>
      <c r="Y28" s="941"/>
      <c r="Z28" s="942"/>
      <c r="AA28" s="940"/>
      <c r="AB28" s="941"/>
      <c r="AC28" s="941"/>
      <c r="AD28" s="942"/>
      <c r="AE28" s="940"/>
      <c r="AF28" s="941"/>
      <c r="AG28" s="941"/>
      <c r="AH28" s="941"/>
      <c r="AI28" s="941"/>
      <c r="AJ28" s="942"/>
      <c r="AK28" s="947" t="s">
        <v>430</v>
      </c>
      <c r="AL28" s="948"/>
      <c r="AM28" s="948"/>
      <c r="AN28" s="949"/>
      <c r="AO28" s="956"/>
      <c r="AP28" s="957"/>
      <c r="AQ28" s="957"/>
      <c r="AR28" s="957"/>
      <c r="AS28" s="957"/>
      <c r="AT28" s="958"/>
      <c r="AU28" s="963"/>
      <c r="AV28" s="964"/>
      <c r="AW28" s="964"/>
      <c r="AX28" s="964"/>
      <c r="AY28" s="964"/>
      <c r="AZ28" s="965"/>
      <c r="BA28" s="303"/>
      <c r="BB28" s="303"/>
    </row>
    <row r="29" spans="1:88" s="2" customFormat="1">
      <c r="A29" s="981"/>
      <c r="B29" s="205" t="s">
        <v>505</v>
      </c>
      <c r="C29" s="966"/>
      <c r="D29" s="943" t="s">
        <v>756</v>
      </c>
      <c r="E29" s="944"/>
      <c r="F29" s="944"/>
      <c r="G29" s="944"/>
      <c r="H29" s="944"/>
      <c r="I29" s="944"/>
      <c r="J29" s="944"/>
      <c r="K29" s="944"/>
      <c r="L29" s="944"/>
      <c r="M29" s="944"/>
      <c r="N29" s="945"/>
      <c r="O29" s="947">
        <v>4</v>
      </c>
      <c r="P29" s="948"/>
      <c r="Q29" s="948"/>
      <c r="R29" s="949"/>
      <c r="S29" s="940">
        <f>W27+2</f>
        <v>45908</v>
      </c>
      <c r="T29" s="941"/>
      <c r="U29" s="941"/>
      <c r="V29" s="942"/>
      <c r="W29" s="940">
        <f>S29+1</f>
        <v>45909</v>
      </c>
      <c r="X29" s="941"/>
      <c r="Y29" s="941"/>
      <c r="Z29" s="942"/>
      <c r="AA29" s="953"/>
      <c r="AB29" s="954"/>
      <c r="AC29" s="954"/>
      <c r="AD29" s="955"/>
      <c r="AE29" s="953"/>
      <c r="AF29" s="954"/>
      <c r="AG29" s="954"/>
      <c r="AH29" s="954"/>
      <c r="AI29" s="954"/>
      <c r="AJ29" s="955"/>
      <c r="AK29" s="947" t="s">
        <v>430</v>
      </c>
      <c r="AL29" s="948"/>
      <c r="AM29" s="948"/>
      <c r="AN29" s="949"/>
      <c r="AO29" s="956"/>
      <c r="AP29" s="957"/>
      <c r="AQ29" s="957"/>
      <c r="AR29" s="957"/>
      <c r="AS29" s="957"/>
      <c r="AT29" s="958"/>
      <c r="AU29" s="956"/>
      <c r="AV29" s="957"/>
      <c r="AW29" s="957"/>
      <c r="AX29" s="957"/>
      <c r="AY29" s="957"/>
      <c r="AZ29" s="958"/>
      <c r="BA29" s="303"/>
      <c r="BB29" s="303"/>
    </row>
    <row r="30" spans="1:88" s="2" customFormat="1">
      <c r="A30" s="981"/>
      <c r="B30" s="205" t="s">
        <v>507</v>
      </c>
      <c r="C30" s="966"/>
      <c r="D30" s="943" t="s">
        <v>757</v>
      </c>
      <c r="E30" s="944"/>
      <c r="F30" s="944"/>
      <c r="G30" s="944"/>
      <c r="H30" s="944"/>
      <c r="I30" s="944"/>
      <c r="J30" s="944"/>
      <c r="K30" s="944"/>
      <c r="L30" s="944"/>
      <c r="M30" s="944"/>
      <c r="N30" s="945"/>
      <c r="O30" s="947">
        <v>4</v>
      </c>
      <c r="P30" s="948"/>
      <c r="Q30" s="948"/>
      <c r="R30" s="949"/>
      <c r="S30" s="940"/>
      <c r="T30" s="941"/>
      <c r="U30" s="941"/>
      <c r="V30" s="942"/>
      <c r="W30" s="940"/>
      <c r="X30" s="941"/>
      <c r="Y30" s="941"/>
      <c r="Z30" s="942"/>
      <c r="AA30" s="931"/>
      <c r="AB30" s="932"/>
      <c r="AC30" s="932"/>
      <c r="AD30" s="933"/>
      <c r="AE30" s="931"/>
      <c r="AF30" s="932"/>
      <c r="AG30" s="932"/>
      <c r="AH30" s="932"/>
      <c r="AI30" s="932"/>
      <c r="AJ30" s="933"/>
      <c r="AK30" s="947" t="s">
        <v>430</v>
      </c>
      <c r="AL30" s="948"/>
      <c r="AM30" s="948"/>
      <c r="AN30" s="949"/>
      <c r="AO30" s="956"/>
      <c r="AP30" s="957"/>
      <c r="AQ30" s="957"/>
      <c r="AR30" s="957"/>
      <c r="AS30" s="957"/>
      <c r="AT30" s="958"/>
      <c r="AU30" s="956"/>
      <c r="AV30" s="957"/>
      <c r="AW30" s="957"/>
      <c r="AX30" s="957"/>
      <c r="AY30" s="957"/>
      <c r="AZ30" s="958"/>
      <c r="BA30" s="303"/>
      <c r="BB30" s="303"/>
    </row>
    <row r="31" spans="1:88" s="2" customFormat="1">
      <c r="A31" s="981"/>
      <c r="B31" s="205" t="s">
        <v>509</v>
      </c>
      <c r="C31" s="966"/>
      <c r="D31" s="943" t="s">
        <v>758</v>
      </c>
      <c r="E31" s="944"/>
      <c r="F31" s="944"/>
      <c r="G31" s="944"/>
      <c r="H31" s="944"/>
      <c r="I31" s="944"/>
      <c r="J31" s="944"/>
      <c r="K31" s="944"/>
      <c r="L31" s="944"/>
      <c r="M31" s="944"/>
      <c r="N31" s="945"/>
      <c r="O31" s="947">
        <v>4</v>
      </c>
      <c r="P31" s="948"/>
      <c r="Q31" s="948"/>
      <c r="R31" s="949"/>
      <c r="S31" s="940">
        <f>W29</f>
        <v>45909</v>
      </c>
      <c r="T31" s="941"/>
      <c r="U31" s="941"/>
      <c r="V31" s="942"/>
      <c r="W31" s="940">
        <f t="shared" ref="W31" si="3">S31+1</f>
        <v>45910</v>
      </c>
      <c r="X31" s="941"/>
      <c r="Y31" s="941"/>
      <c r="Z31" s="942"/>
      <c r="AA31" s="940"/>
      <c r="AB31" s="941"/>
      <c r="AC31" s="941"/>
      <c r="AD31" s="942"/>
      <c r="AE31" s="940"/>
      <c r="AF31" s="941"/>
      <c r="AG31" s="941"/>
      <c r="AH31" s="941"/>
      <c r="AI31" s="941"/>
      <c r="AJ31" s="942"/>
      <c r="AK31" s="947" t="s">
        <v>430</v>
      </c>
      <c r="AL31" s="948"/>
      <c r="AM31" s="948"/>
      <c r="AN31" s="949"/>
      <c r="AO31" s="956"/>
      <c r="AP31" s="957"/>
      <c r="AQ31" s="957"/>
      <c r="AR31" s="957"/>
      <c r="AS31" s="957"/>
      <c r="AT31" s="958"/>
      <c r="AU31" s="956"/>
      <c r="AV31" s="957"/>
      <c r="AW31" s="957"/>
      <c r="AX31" s="957"/>
      <c r="AY31" s="957"/>
      <c r="AZ31" s="958"/>
      <c r="BA31" s="303"/>
      <c r="BB31" s="303"/>
    </row>
    <row r="32" spans="1:88" s="2" customFormat="1">
      <c r="A32" s="981"/>
      <c r="B32" s="205" t="s">
        <v>511</v>
      </c>
      <c r="C32" s="966"/>
      <c r="D32" s="943" t="s">
        <v>759</v>
      </c>
      <c r="E32" s="944"/>
      <c r="F32" s="944"/>
      <c r="G32" s="944"/>
      <c r="H32" s="944"/>
      <c r="I32" s="944"/>
      <c r="J32" s="944"/>
      <c r="K32" s="944"/>
      <c r="L32" s="944"/>
      <c r="M32" s="944"/>
      <c r="N32" s="945"/>
      <c r="O32" s="947">
        <v>4</v>
      </c>
      <c r="P32" s="948"/>
      <c r="Q32" s="948"/>
      <c r="R32" s="949"/>
      <c r="S32" s="940"/>
      <c r="T32" s="941"/>
      <c r="U32" s="941"/>
      <c r="V32" s="942"/>
      <c r="W32" s="940"/>
      <c r="X32" s="941"/>
      <c r="Y32" s="941"/>
      <c r="Z32" s="942"/>
      <c r="AA32" s="940"/>
      <c r="AB32" s="941"/>
      <c r="AC32" s="941"/>
      <c r="AD32" s="942"/>
      <c r="AE32" s="940"/>
      <c r="AF32" s="941"/>
      <c r="AG32" s="941"/>
      <c r="AH32" s="941"/>
      <c r="AI32" s="941"/>
      <c r="AJ32" s="942"/>
      <c r="AK32" s="947" t="s">
        <v>430</v>
      </c>
      <c r="AL32" s="948"/>
      <c r="AM32" s="948"/>
      <c r="AN32" s="949"/>
      <c r="AO32" s="956"/>
      <c r="AP32" s="957"/>
      <c r="AQ32" s="957"/>
      <c r="AR32" s="957"/>
      <c r="AS32" s="957"/>
      <c r="AT32" s="958"/>
      <c r="AU32" s="956"/>
      <c r="AV32" s="957"/>
      <c r="AW32" s="957"/>
      <c r="AX32" s="957"/>
      <c r="AY32" s="957"/>
      <c r="AZ32" s="958"/>
      <c r="BA32" s="303"/>
      <c r="BB32" s="303"/>
    </row>
    <row r="33" spans="1:54" s="2" customFormat="1">
      <c r="A33" s="981"/>
      <c r="B33" s="205" t="s">
        <v>513</v>
      </c>
      <c r="C33" s="966"/>
      <c r="D33" s="934" t="s">
        <v>750</v>
      </c>
      <c r="E33" s="935"/>
      <c r="F33" s="935"/>
      <c r="G33" s="935"/>
      <c r="H33" s="935"/>
      <c r="I33" s="935"/>
      <c r="J33" s="935"/>
      <c r="K33" s="935"/>
      <c r="L33" s="935"/>
      <c r="M33" s="935"/>
      <c r="N33" s="936"/>
      <c r="O33" s="947">
        <v>2</v>
      </c>
      <c r="P33" s="948"/>
      <c r="Q33" s="948"/>
      <c r="R33" s="949"/>
      <c r="S33" s="940">
        <f>W31</f>
        <v>45910</v>
      </c>
      <c r="T33" s="941"/>
      <c r="U33" s="941"/>
      <c r="V33" s="942"/>
      <c r="W33" s="940">
        <f t="shared" ref="W33" si="4">S33+1</f>
        <v>45911</v>
      </c>
      <c r="X33" s="941"/>
      <c r="Y33" s="941"/>
      <c r="Z33" s="942"/>
      <c r="AA33" s="953"/>
      <c r="AB33" s="954"/>
      <c r="AC33" s="954"/>
      <c r="AD33" s="955"/>
      <c r="AE33" s="953"/>
      <c r="AF33" s="954"/>
      <c r="AG33" s="954"/>
      <c r="AH33" s="954"/>
      <c r="AI33" s="954"/>
      <c r="AJ33" s="955"/>
      <c r="AK33" s="947" t="s">
        <v>430</v>
      </c>
      <c r="AL33" s="948"/>
      <c r="AM33" s="948"/>
      <c r="AN33" s="949"/>
      <c r="AO33" s="956"/>
      <c r="AP33" s="957"/>
      <c r="AQ33" s="957"/>
      <c r="AR33" s="957"/>
      <c r="AS33" s="957"/>
      <c r="AT33" s="958"/>
      <c r="AU33" s="963"/>
      <c r="AV33" s="964"/>
      <c r="AW33" s="964"/>
      <c r="AX33" s="964"/>
      <c r="AY33" s="964"/>
      <c r="AZ33" s="965"/>
      <c r="BA33" s="303"/>
      <c r="BB33" s="303"/>
    </row>
    <row r="34" spans="1:54" s="2" customFormat="1">
      <c r="A34" s="981"/>
      <c r="B34" s="205" t="s">
        <v>515</v>
      </c>
      <c r="C34" s="967"/>
      <c r="D34" s="934" t="s">
        <v>301</v>
      </c>
      <c r="E34" s="935"/>
      <c r="F34" s="935"/>
      <c r="G34" s="935"/>
      <c r="H34" s="935"/>
      <c r="I34" s="935"/>
      <c r="J34" s="935"/>
      <c r="K34" s="935"/>
      <c r="L34" s="935"/>
      <c r="M34" s="935"/>
      <c r="N34" s="936"/>
      <c r="O34" s="947">
        <v>6</v>
      </c>
      <c r="P34" s="948"/>
      <c r="Q34" s="948"/>
      <c r="R34" s="949"/>
      <c r="S34" s="940"/>
      <c r="T34" s="941"/>
      <c r="U34" s="941"/>
      <c r="V34" s="942"/>
      <c r="W34" s="940"/>
      <c r="X34" s="941"/>
      <c r="Y34" s="941"/>
      <c r="Z34" s="942"/>
      <c r="AA34" s="931"/>
      <c r="AB34" s="932"/>
      <c r="AC34" s="932"/>
      <c r="AD34" s="933"/>
      <c r="AE34" s="931"/>
      <c r="AF34" s="932"/>
      <c r="AG34" s="932"/>
      <c r="AH34" s="932"/>
      <c r="AI34" s="932"/>
      <c r="AJ34" s="933"/>
      <c r="AK34" s="947" t="s">
        <v>430</v>
      </c>
      <c r="AL34" s="948"/>
      <c r="AM34" s="948"/>
      <c r="AN34" s="949"/>
      <c r="AO34" s="956"/>
      <c r="AP34" s="957"/>
      <c r="AQ34" s="957"/>
      <c r="AR34" s="957"/>
      <c r="AS34" s="957"/>
      <c r="AT34" s="958"/>
      <c r="AU34" s="963"/>
      <c r="AV34" s="964"/>
      <c r="AW34" s="964"/>
      <c r="AX34" s="964"/>
      <c r="AY34" s="964"/>
      <c r="AZ34" s="965"/>
      <c r="BA34" s="303"/>
      <c r="BB34" s="303"/>
    </row>
    <row r="35" spans="1:54" s="2" customFormat="1">
      <c r="A35" s="981"/>
      <c r="B35" s="205" t="s">
        <v>517</v>
      </c>
      <c r="C35" s="982" t="s">
        <v>760</v>
      </c>
      <c r="D35" s="943" t="s">
        <v>761</v>
      </c>
      <c r="E35" s="944"/>
      <c r="F35" s="944"/>
      <c r="G35" s="944"/>
      <c r="H35" s="944"/>
      <c r="I35" s="944"/>
      <c r="J35" s="944"/>
      <c r="K35" s="944"/>
      <c r="L35" s="944"/>
      <c r="M35" s="944"/>
      <c r="N35" s="945"/>
      <c r="O35" s="947">
        <v>2</v>
      </c>
      <c r="P35" s="948"/>
      <c r="Q35" s="948"/>
      <c r="R35" s="949"/>
      <c r="S35" s="940">
        <f>W33+2</f>
        <v>45913</v>
      </c>
      <c r="T35" s="941"/>
      <c r="U35" s="941"/>
      <c r="V35" s="942"/>
      <c r="W35" s="940">
        <f>S35+1</f>
        <v>45914</v>
      </c>
      <c r="X35" s="941"/>
      <c r="Y35" s="941"/>
      <c r="Z35" s="942"/>
      <c r="AA35" s="940"/>
      <c r="AB35" s="941"/>
      <c r="AC35" s="941"/>
      <c r="AD35" s="942"/>
      <c r="AE35" s="940"/>
      <c r="AF35" s="941"/>
      <c r="AG35" s="941"/>
      <c r="AH35" s="941"/>
      <c r="AI35" s="941"/>
      <c r="AJ35" s="942"/>
      <c r="AK35" s="947" t="s">
        <v>430</v>
      </c>
      <c r="AL35" s="948"/>
      <c r="AM35" s="948"/>
      <c r="AN35" s="949"/>
      <c r="AO35" s="956"/>
      <c r="AP35" s="957"/>
      <c r="AQ35" s="957"/>
      <c r="AR35" s="957"/>
      <c r="AS35" s="957"/>
      <c r="AT35" s="958"/>
      <c r="AU35" s="956"/>
      <c r="AV35" s="957"/>
      <c r="AW35" s="957"/>
      <c r="AX35" s="957"/>
      <c r="AY35" s="957"/>
      <c r="AZ35" s="958"/>
      <c r="BA35" s="303"/>
      <c r="BB35" s="303"/>
    </row>
    <row r="36" spans="1:54" s="2" customFormat="1">
      <c r="A36" s="981"/>
      <c r="B36" s="205" t="s">
        <v>520</v>
      </c>
      <c r="C36" s="967"/>
      <c r="D36" s="943" t="s">
        <v>762</v>
      </c>
      <c r="E36" s="944"/>
      <c r="F36" s="944"/>
      <c r="G36" s="944"/>
      <c r="H36" s="944"/>
      <c r="I36" s="944"/>
      <c r="J36" s="944"/>
      <c r="K36" s="944"/>
      <c r="L36" s="944"/>
      <c r="M36" s="944"/>
      <c r="N36" s="945"/>
      <c r="O36" s="947">
        <v>2</v>
      </c>
      <c r="P36" s="948"/>
      <c r="Q36" s="948"/>
      <c r="R36" s="949"/>
      <c r="S36" s="940"/>
      <c r="T36" s="941"/>
      <c r="U36" s="941"/>
      <c r="V36" s="942"/>
      <c r="W36" s="940"/>
      <c r="X36" s="941"/>
      <c r="Y36" s="941"/>
      <c r="Z36" s="942"/>
      <c r="AA36" s="940"/>
      <c r="AB36" s="941"/>
      <c r="AC36" s="941"/>
      <c r="AD36" s="942"/>
      <c r="AE36" s="940"/>
      <c r="AF36" s="941"/>
      <c r="AG36" s="941"/>
      <c r="AH36" s="941"/>
      <c r="AI36" s="941"/>
      <c r="AJ36" s="942"/>
      <c r="AK36" s="947" t="s">
        <v>430</v>
      </c>
      <c r="AL36" s="948"/>
      <c r="AM36" s="948"/>
      <c r="AN36" s="949"/>
      <c r="AO36" s="956"/>
      <c r="AP36" s="957"/>
      <c r="AQ36" s="957"/>
      <c r="AR36" s="957"/>
      <c r="AS36" s="957"/>
      <c r="AT36" s="958"/>
      <c r="AU36" s="956"/>
      <c r="AV36" s="957"/>
      <c r="AW36" s="957"/>
      <c r="AX36" s="957"/>
      <c r="AY36" s="957"/>
      <c r="AZ36" s="958"/>
      <c r="BA36" s="303"/>
      <c r="BB36" s="303"/>
    </row>
    <row r="37" spans="1:54" s="2" customFormat="1">
      <c r="A37" s="981"/>
      <c r="B37" s="205" t="s">
        <v>522</v>
      </c>
      <c r="C37" s="968" t="s">
        <v>763</v>
      </c>
      <c r="D37" s="943" t="s">
        <v>764</v>
      </c>
      <c r="E37" s="944"/>
      <c r="F37" s="944"/>
      <c r="G37" s="944"/>
      <c r="H37" s="944"/>
      <c r="I37" s="944"/>
      <c r="J37" s="944"/>
      <c r="K37" s="944"/>
      <c r="L37" s="944"/>
      <c r="M37" s="944"/>
      <c r="N37" s="945"/>
      <c r="O37" s="947">
        <v>2</v>
      </c>
      <c r="P37" s="948"/>
      <c r="Q37" s="948"/>
      <c r="R37" s="949"/>
      <c r="S37" s="940"/>
      <c r="T37" s="941"/>
      <c r="U37" s="941"/>
      <c r="V37" s="942"/>
      <c r="W37" s="940"/>
      <c r="X37" s="941"/>
      <c r="Y37" s="941"/>
      <c r="Z37" s="942"/>
      <c r="AA37" s="953"/>
      <c r="AB37" s="954"/>
      <c r="AC37" s="954"/>
      <c r="AD37" s="955"/>
      <c r="AE37" s="953"/>
      <c r="AF37" s="954"/>
      <c r="AG37" s="954"/>
      <c r="AH37" s="954"/>
      <c r="AI37" s="954"/>
      <c r="AJ37" s="955"/>
      <c r="AK37" s="947" t="s">
        <v>430</v>
      </c>
      <c r="AL37" s="948"/>
      <c r="AM37" s="948"/>
      <c r="AN37" s="949"/>
      <c r="AO37" s="956"/>
      <c r="AP37" s="957"/>
      <c r="AQ37" s="957"/>
      <c r="AR37" s="957"/>
      <c r="AS37" s="957"/>
      <c r="AT37" s="958"/>
      <c r="AU37" s="956"/>
      <c r="AV37" s="957"/>
      <c r="AW37" s="957"/>
      <c r="AX37" s="957"/>
      <c r="AY37" s="957"/>
      <c r="AZ37" s="958"/>
      <c r="BA37" s="303"/>
      <c r="BB37" s="303"/>
    </row>
    <row r="38" spans="1:54" s="2" customFormat="1">
      <c r="A38" s="981"/>
      <c r="B38" s="205" t="s">
        <v>524</v>
      </c>
      <c r="C38" s="946"/>
      <c r="D38" s="943" t="s">
        <v>765</v>
      </c>
      <c r="E38" s="944"/>
      <c r="F38" s="944"/>
      <c r="G38" s="944"/>
      <c r="H38" s="944"/>
      <c r="I38" s="944"/>
      <c r="J38" s="944"/>
      <c r="K38" s="944"/>
      <c r="L38" s="944"/>
      <c r="M38" s="944"/>
      <c r="N38" s="945"/>
      <c r="O38" s="947">
        <v>2</v>
      </c>
      <c r="P38" s="948"/>
      <c r="Q38" s="948"/>
      <c r="R38" s="949"/>
      <c r="S38" s="940"/>
      <c r="T38" s="941"/>
      <c r="U38" s="941"/>
      <c r="V38" s="942"/>
      <c r="W38" s="940"/>
      <c r="X38" s="941"/>
      <c r="Y38" s="941"/>
      <c r="Z38" s="942"/>
      <c r="AA38" s="931"/>
      <c r="AB38" s="932"/>
      <c r="AC38" s="932"/>
      <c r="AD38" s="933"/>
      <c r="AE38" s="931"/>
      <c r="AF38" s="932"/>
      <c r="AG38" s="932"/>
      <c r="AH38" s="932"/>
      <c r="AI38" s="932"/>
      <c r="AJ38" s="933"/>
      <c r="AK38" s="947" t="s">
        <v>430</v>
      </c>
      <c r="AL38" s="948"/>
      <c r="AM38" s="948"/>
      <c r="AN38" s="949"/>
      <c r="AO38" s="956"/>
      <c r="AP38" s="957"/>
      <c r="AQ38" s="957"/>
      <c r="AR38" s="957"/>
      <c r="AS38" s="957"/>
      <c r="AT38" s="958"/>
      <c r="AU38" s="956"/>
      <c r="AV38" s="957"/>
      <c r="AW38" s="957"/>
      <c r="AX38" s="957"/>
      <c r="AY38" s="957"/>
      <c r="AZ38" s="958"/>
      <c r="BA38" s="303"/>
      <c r="BB38" s="303"/>
    </row>
    <row r="39" spans="1:54" s="2" customFormat="1">
      <c r="A39" s="981"/>
      <c r="B39" s="205" t="s">
        <v>526</v>
      </c>
      <c r="C39" s="946"/>
      <c r="D39" s="943" t="s">
        <v>766</v>
      </c>
      <c r="E39" s="944"/>
      <c r="F39" s="944"/>
      <c r="G39" s="944"/>
      <c r="H39" s="944"/>
      <c r="I39" s="944"/>
      <c r="J39" s="944"/>
      <c r="K39" s="944"/>
      <c r="L39" s="944"/>
      <c r="M39" s="944"/>
      <c r="N39" s="945"/>
      <c r="O39" s="947">
        <v>2</v>
      </c>
      <c r="P39" s="948"/>
      <c r="Q39" s="948"/>
      <c r="R39" s="949"/>
      <c r="S39" s="940">
        <f>W35</f>
        <v>45914</v>
      </c>
      <c r="T39" s="941"/>
      <c r="U39" s="941"/>
      <c r="V39" s="942"/>
      <c r="W39" s="940">
        <f t="shared" ref="W39" si="5">S39+1</f>
        <v>45915</v>
      </c>
      <c r="X39" s="941"/>
      <c r="Y39" s="941"/>
      <c r="Z39" s="942"/>
      <c r="AA39" s="940"/>
      <c r="AB39" s="941"/>
      <c r="AC39" s="941"/>
      <c r="AD39" s="942"/>
      <c r="AE39" s="940"/>
      <c r="AF39" s="941"/>
      <c r="AG39" s="941"/>
      <c r="AH39" s="941"/>
      <c r="AI39" s="941"/>
      <c r="AJ39" s="942"/>
      <c r="AK39" s="947" t="s">
        <v>430</v>
      </c>
      <c r="AL39" s="948"/>
      <c r="AM39" s="948"/>
      <c r="AN39" s="949"/>
      <c r="AO39" s="956"/>
      <c r="AP39" s="957"/>
      <c r="AQ39" s="957"/>
      <c r="AR39" s="957"/>
      <c r="AS39" s="957"/>
      <c r="AT39" s="958"/>
      <c r="AU39" s="956"/>
      <c r="AV39" s="957"/>
      <c r="AW39" s="957"/>
      <c r="AX39" s="957"/>
      <c r="AY39" s="957"/>
      <c r="AZ39" s="958"/>
      <c r="BA39" s="303"/>
      <c r="BB39" s="303"/>
    </row>
    <row r="40" spans="1:54" s="2" customFormat="1">
      <c r="A40" s="981"/>
      <c r="B40" s="205" t="s">
        <v>528</v>
      </c>
      <c r="C40" s="946"/>
      <c r="D40" s="943" t="s">
        <v>767</v>
      </c>
      <c r="E40" s="944"/>
      <c r="F40" s="944"/>
      <c r="G40" s="944"/>
      <c r="H40" s="944"/>
      <c r="I40" s="944"/>
      <c r="J40" s="944"/>
      <c r="K40" s="944"/>
      <c r="L40" s="944"/>
      <c r="M40" s="944"/>
      <c r="N40" s="945"/>
      <c r="O40" s="947">
        <v>2</v>
      </c>
      <c r="P40" s="948"/>
      <c r="Q40" s="948"/>
      <c r="R40" s="949"/>
      <c r="S40" s="940"/>
      <c r="T40" s="941"/>
      <c r="U40" s="941"/>
      <c r="V40" s="942"/>
      <c r="W40" s="940"/>
      <c r="X40" s="941"/>
      <c r="Y40" s="941"/>
      <c r="Z40" s="942"/>
      <c r="AA40" s="940"/>
      <c r="AB40" s="941"/>
      <c r="AC40" s="941"/>
      <c r="AD40" s="942"/>
      <c r="AE40" s="940"/>
      <c r="AF40" s="941"/>
      <c r="AG40" s="941"/>
      <c r="AH40" s="941"/>
      <c r="AI40" s="941"/>
      <c r="AJ40" s="942"/>
      <c r="AK40" s="947" t="s">
        <v>430</v>
      </c>
      <c r="AL40" s="948"/>
      <c r="AM40" s="948"/>
      <c r="AN40" s="949"/>
      <c r="AO40" s="956"/>
      <c r="AP40" s="957"/>
      <c r="AQ40" s="957"/>
      <c r="AR40" s="957"/>
      <c r="AS40" s="957"/>
      <c r="AT40" s="958"/>
      <c r="AU40" s="956"/>
      <c r="AV40" s="957"/>
      <c r="AW40" s="957"/>
      <c r="AX40" s="957"/>
      <c r="AY40" s="957"/>
      <c r="AZ40" s="958"/>
      <c r="BA40" s="303"/>
      <c r="BB40" s="303"/>
    </row>
    <row r="41" spans="1:54" s="2" customFormat="1">
      <c r="A41" s="981"/>
      <c r="B41" s="205" t="s">
        <v>530</v>
      </c>
      <c r="C41" s="946"/>
      <c r="D41" s="943" t="s">
        <v>768</v>
      </c>
      <c r="E41" s="944"/>
      <c r="F41" s="944"/>
      <c r="G41" s="944"/>
      <c r="H41" s="944"/>
      <c r="I41" s="944"/>
      <c r="J41" s="944"/>
      <c r="K41" s="944"/>
      <c r="L41" s="944"/>
      <c r="M41" s="944"/>
      <c r="N41" s="945"/>
      <c r="O41" s="947">
        <v>2</v>
      </c>
      <c r="P41" s="948"/>
      <c r="Q41" s="948"/>
      <c r="R41" s="949"/>
      <c r="S41" s="940"/>
      <c r="T41" s="941"/>
      <c r="U41" s="941"/>
      <c r="V41" s="942"/>
      <c r="W41" s="940"/>
      <c r="X41" s="941"/>
      <c r="Y41" s="941"/>
      <c r="Z41" s="942"/>
      <c r="AA41" s="953"/>
      <c r="AB41" s="954"/>
      <c r="AC41" s="954"/>
      <c r="AD41" s="955"/>
      <c r="AE41" s="953"/>
      <c r="AF41" s="954"/>
      <c r="AG41" s="954"/>
      <c r="AH41" s="954"/>
      <c r="AI41" s="954"/>
      <c r="AJ41" s="955"/>
      <c r="AK41" s="947" t="s">
        <v>430</v>
      </c>
      <c r="AL41" s="948"/>
      <c r="AM41" s="948"/>
      <c r="AN41" s="949"/>
      <c r="AO41" s="956"/>
      <c r="AP41" s="957"/>
      <c r="AQ41" s="957"/>
      <c r="AR41" s="957"/>
      <c r="AS41" s="957"/>
      <c r="AT41" s="958"/>
      <c r="AU41" s="956"/>
      <c r="AV41" s="957"/>
      <c r="AW41" s="957"/>
      <c r="AX41" s="957"/>
      <c r="AY41" s="957"/>
      <c r="AZ41" s="958"/>
      <c r="BA41" s="303"/>
      <c r="BB41" s="303"/>
    </row>
    <row r="42" spans="1:54" s="2" customFormat="1">
      <c r="A42" s="981"/>
      <c r="B42" s="205" t="s">
        <v>532</v>
      </c>
      <c r="C42" s="946"/>
      <c r="D42" s="943" t="s">
        <v>769</v>
      </c>
      <c r="E42" s="944"/>
      <c r="F42" s="944"/>
      <c r="G42" s="944"/>
      <c r="H42" s="944"/>
      <c r="I42" s="944"/>
      <c r="J42" s="944"/>
      <c r="K42" s="944"/>
      <c r="L42" s="944"/>
      <c r="M42" s="944"/>
      <c r="N42" s="945"/>
      <c r="O42" s="947">
        <v>2</v>
      </c>
      <c r="P42" s="948"/>
      <c r="Q42" s="948"/>
      <c r="R42" s="949"/>
      <c r="S42" s="940"/>
      <c r="T42" s="941"/>
      <c r="U42" s="941"/>
      <c r="V42" s="942"/>
      <c r="W42" s="940"/>
      <c r="X42" s="941"/>
      <c r="Y42" s="941"/>
      <c r="Z42" s="942"/>
      <c r="AA42" s="931"/>
      <c r="AB42" s="932"/>
      <c r="AC42" s="932"/>
      <c r="AD42" s="933"/>
      <c r="AE42" s="931"/>
      <c r="AF42" s="932"/>
      <c r="AG42" s="932"/>
      <c r="AH42" s="932"/>
      <c r="AI42" s="932"/>
      <c r="AJ42" s="933"/>
      <c r="AK42" s="947" t="s">
        <v>430</v>
      </c>
      <c r="AL42" s="948"/>
      <c r="AM42" s="948"/>
      <c r="AN42" s="949"/>
      <c r="AO42" s="956"/>
      <c r="AP42" s="957"/>
      <c r="AQ42" s="957"/>
      <c r="AR42" s="957"/>
      <c r="AS42" s="957"/>
      <c r="AT42" s="958"/>
      <c r="AU42" s="956"/>
      <c r="AV42" s="957"/>
      <c r="AW42" s="957"/>
      <c r="AX42" s="957"/>
      <c r="AY42" s="957"/>
      <c r="AZ42" s="958"/>
      <c r="BA42" s="303"/>
      <c r="BB42" s="303"/>
    </row>
    <row r="43" spans="1:54" s="2" customFormat="1">
      <c r="A43" s="981"/>
      <c r="B43" s="205" t="s">
        <v>534</v>
      </c>
      <c r="C43" s="946"/>
      <c r="D43" s="943" t="s">
        <v>770</v>
      </c>
      <c r="E43" s="944"/>
      <c r="F43" s="944"/>
      <c r="G43" s="944"/>
      <c r="H43" s="944"/>
      <c r="I43" s="944"/>
      <c r="J43" s="944"/>
      <c r="K43" s="944"/>
      <c r="L43" s="944"/>
      <c r="M43" s="944"/>
      <c r="N43" s="945"/>
      <c r="O43" s="947">
        <v>2</v>
      </c>
      <c r="P43" s="948"/>
      <c r="Q43" s="948"/>
      <c r="R43" s="949"/>
      <c r="S43" s="940">
        <f>W39</f>
        <v>45915</v>
      </c>
      <c r="T43" s="941"/>
      <c r="U43" s="941"/>
      <c r="V43" s="942"/>
      <c r="W43" s="940">
        <f>S43+1</f>
        <v>45916</v>
      </c>
      <c r="X43" s="941"/>
      <c r="Y43" s="941"/>
      <c r="Z43" s="942"/>
      <c r="AA43" s="940"/>
      <c r="AB43" s="941"/>
      <c r="AC43" s="941"/>
      <c r="AD43" s="942"/>
      <c r="AE43" s="940"/>
      <c r="AF43" s="941"/>
      <c r="AG43" s="941"/>
      <c r="AH43" s="941"/>
      <c r="AI43" s="941"/>
      <c r="AJ43" s="942"/>
      <c r="AK43" s="947" t="s">
        <v>430</v>
      </c>
      <c r="AL43" s="948"/>
      <c r="AM43" s="948"/>
      <c r="AN43" s="949"/>
      <c r="AO43" s="956"/>
      <c r="AP43" s="957"/>
      <c r="AQ43" s="957"/>
      <c r="AR43" s="957"/>
      <c r="AS43" s="957"/>
      <c r="AT43" s="958"/>
      <c r="AU43" s="956"/>
      <c r="AV43" s="957"/>
      <c r="AW43" s="957"/>
      <c r="AX43" s="957"/>
      <c r="AY43" s="957"/>
      <c r="AZ43" s="958"/>
      <c r="BA43" s="303"/>
      <c r="BB43" s="303"/>
    </row>
    <row r="44" spans="1:54" s="2" customFormat="1">
      <c r="A44" s="981"/>
      <c r="B44" s="205" t="s">
        <v>536</v>
      </c>
      <c r="C44" s="946"/>
      <c r="D44" s="943" t="s">
        <v>771</v>
      </c>
      <c r="E44" s="944"/>
      <c r="F44" s="944"/>
      <c r="G44" s="944"/>
      <c r="H44" s="944"/>
      <c r="I44" s="944"/>
      <c r="J44" s="944"/>
      <c r="K44" s="944"/>
      <c r="L44" s="944"/>
      <c r="M44" s="944"/>
      <c r="N44" s="945"/>
      <c r="O44" s="947">
        <v>2</v>
      </c>
      <c r="P44" s="948"/>
      <c r="Q44" s="948"/>
      <c r="R44" s="949"/>
      <c r="S44" s="940"/>
      <c r="T44" s="941"/>
      <c r="U44" s="941"/>
      <c r="V44" s="942"/>
      <c r="W44" s="940"/>
      <c r="X44" s="941"/>
      <c r="Y44" s="941"/>
      <c r="Z44" s="942"/>
      <c r="AA44" s="940"/>
      <c r="AB44" s="941"/>
      <c r="AC44" s="941"/>
      <c r="AD44" s="942"/>
      <c r="AE44" s="940"/>
      <c r="AF44" s="941"/>
      <c r="AG44" s="941"/>
      <c r="AH44" s="941"/>
      <c r="AI44" s="941"/>
      <c r="AJ44" s="942"/>
      <c r="AK44" s="947" t="s">
        <v>430</v>
      </c>
      <c r="AL44" s="948"/>
      <c r="AM44" s="948"/>
      <c r="AN44" s="949"/>
      <c r="AO44" s="956"/>
      <c r="AP44" s="957"/>
      <c r="AQ44" s="957"/>
      <c r="AR44" s="957"/>
      <c r="AS44" s="957"/>
      <c r="AT44" s="958"/>
      <c r="AU44" s="956"/>
      <c r="AV44" s="957"/>
      <c r="AW44" s="957"/>
      <c r="AX44" s="957"/>
      <c r="AY44" s="957"/>
      <c r="AZ44" s="958"/>
      <c r="BA44" s="303"/>
      <c r="BB44" s="303"/>
    </row>
    <row r="45" spans="1:54" s="2" customFormat="1">
      <c r="A45" s="981"/>
      <c r="B45" s="205" t="s">
        <v>538</v>
      </c>
      <c r="C45" s="946"/>
      <c r="D45" s="943" t="s">
        <v>454</v>
      </c>
      <c r="E45" s="944"/>
      <c r="F45" s="944"/>
      <c r="G45" s="944"/>
      <c r="H45" s="944"/>
      <c r="I45" s="944"/>
      <c r="J45" s="944"/>
      <c r="K45" s="944"/>
      <c r="L45" s="944"/>
      <c r="M45" s="944"/>
      <c r="N45" s="945"/>
      <c r="O45" s="947">
        <v>2</v>
      </c>
      <c r="P45" s="948"/>
      <c r="Q45" s="948"/>
      <c r="R45" s="949"/>
      <c r="S45" s="940"/>
      <c r="T45" s="941"/>
      <c r="U45" s="941"/>
      <c r="V45" s="942"/>
      <c r="W45" s="940"/>
      <c r="X45" s="941"/>
      <c r="Y45" s="941"/>
      <c r="Z45" s="942"/>
      <c r="AA45" s="940"/>
      <c r="AB45" s="941"/>
      <c r="AC45" s="941"/>
      <c r="AD45" s="942"/>
      <c r="AE45" s="940"/>
      <c r="AF45" s="941"/>
      <c r="AG45" s="941"/>
      <c r="AH45" s="941"/>
      <c r="AI45" s="941"/>
      <c r="AJ45" s="942"/>
      <c r="AK45" s="947" t="s">
        <v>430</v>
      </c>
      <c r="AL45" s="948"/>
      <c r="AM45" s="948"/>
      <c r="AN45" s="949"/>
      <c r="AO45" s="956"/>
      <c r="AP45" s="957"/>
      <c r="AQ45" s="957"/>
      <c r="AR45" s="957"/>
      <c r="AS45" s="957"/>
      <c r="AT45" s="958"/>
      <c r="AU45" s="956"/>
      <c r="AV45" s="957"/>
      <c r="AW45" s="957"/>
      <c r="AX45" s="957"/>
      <c r="AY45" s="957"/>
      <c r="AZ45" s="958"/>
      <c r="BA45" s="303"/>
      <c r="BB45" s="303"/>
    </row>
    <row r="46" spans="1:54" s="2" customFormat="1">
      <c r="A46" s="981"/>
      <c r="B46" s="205" t="s">
        <v>541</v>
      </c>
      <c r="C46" s="946"/>
      <c r="D46" s="943" t="s">
        <v>772</v>
      </c>
      <c r="E46" s="944"/>
      <c r="F46" s="944"/>
      <c r="G46" s="944"/>
      <c r="H46" s="944"/>
      <c r="I46" s="944"/>
      <c r="J46" s="944"/>
      <c r="K46" s="944"/>
      <c r="L46" s="944"/>
      <c r="M46" s="944"/>
      <c r="N46" s="945"/>
      <c r="O46" s="947">
        <v>2</v>
      </c>
      <c r="P46" s="948"/>
      <c r="Q46" s="948"/>
      <c r="R46" s="949"/>
      <c r="S46" s="940"/>
      <c r="T46" s="941"/>
      <c r="U46" s="941"/>
      <c r="V46" s="942"/>
      <c r="W46" s="940"/>
      <c r="X46" s="941"/>
      <c r="Y46" s="941"/>
      <c r="Z46" s="942"/>
      <c r="AA46" s="940"/>
      <c r="AB46" s="941"/>
      <c r="AC46" s="941"/>
      <c r="AD46" s="942"/>
      <c r="AE46" s="940"/>
      <c r="AF46" s="941"/>
      <c r="AG46" s="941"/>
      <c r="AH46" s="941"/>
      <c r="AI46" s="941"/>
      <c r="AJ46" s="942"/>
      <c r="AK46" s="947" t="s">
        <v>430</v>
      </c>
      <c r="AL46" s="948"/>
      <c r="AM46" s="948"/>
      <c r="AN46" s="949"/>
      <c r="AO46" s="956"/>
      <c r="AP46" s="957"/>
      <c r="AQ46" s="957"/>
      <c r="AR46" s="957"/>
      <c r="AS46" s="957"/>
      <c r="AT46" s="958"/>
      <c r="AU46" s="956"/>
      <c r="AV46" s="957"/>
      <c r="AW46" s="957"/>
      <c r="AX46" s="957"/>
      <c r="AY46" s="957"/>
      <c r="AZ46" s="958"/>
      <c r="BA46" s="303"/>
      <c r="BB46" s="303"/>
    </row>
    <row r="47" spans="1:54" s="2" customFormat="1">
      <c r="A47" s="981"/>
      <c r="B47" s="205" t="s">
        <v>543</v>
      </c>
      <c r="C47" s="946"/>
      <c r="D47" s="943" t="s">
        <v>773</v>
      </c>
      <c r="E47" s="944"/>
      <c r="F47" s="944"/>
      <c r="G47" s="944"/>
      <c r="H47" s="944"/>
      <c r="I47" s="944"/>
      <c r="J47" s="944"/>
      <c r="K47" s="944"/>
      <c r="L47" s="944"/>
      <c r="M47" s="944"/>
      <c r="N47" s="945"/>
      <c r="O47" s="947">
        <v>2</v>
      </c>
      <c r="P47" s="948"/>
      <c r="Q47" s="948"/>
      <c r="R47" s="949"/>
      <c r="S47" s="940">
        <f>W43</f>
        <v>45916</v>
      </c>
      <c r="T47" s="941"/>
      <c r="U47" s="941"/>
      <c r="V47" s="942"/>
      <c r="W47" s="940">
        <f>S47+1</f>
        <v>45917</v>
      </c>
      <c r="X47" s="941"/>
      <c r="Y47" s="941"/>
      <c r="Z47" s="942"/>
      <c r="AA47" s="940"/>
      <c r="AB47" s="941"/>
      <c r="AC47" s="941"/>
      <c r="AD47" s="942"/>
      <c r="AE47" s="940"/>
      <c r="AF47" s="941"/>
      <c r="AG47" s="941"/>
      <c r="AH47" s="941"/>
      <c r="AI47" s="941"/>
      <c r="AJ47" s="942"/>
      <c r="AK47" s="947" t="s">
        <v>430</v>
      </c>
      <c r="AL47" s="948"/>
      <c r="AM47" s="948"/>
      <c r="AN47" s="949"/>
      <c r="AO47" s="956"/>
      <c r="AP47" s="957"/>
      <c r="AQ47" s="957"/>
      <c r="AR47" s="957"/>
      <c r="AS47" s="957"/>
      <c r="AT47" s="958"/>
      <c r="AU47" s="956"/>
      <c r="AV47" s="957"/>
      <c r="AW47" s="957"/>
      <c r="AX47" s="957"/>
      <c r="AY47" s="957"/>
      <c r="AZ47" s="958"/>
      <c r="BA47" s="303"/>
      <c r="BB47" s="303"/>
    </row>
    <row r="48" spans="1:54" s="2" customFormat="1">
      <c r="A48" s="981"/>
      <c r="B48" s="205" t="s">
        <v>545</v>
      </c>
      <c r="C48" s="946"/>
      <c r="D48" s="943" t="s">
        <v>774</v>
      </c>
      <c r="E48" s="944"/>
      <c r="F48" s="944"/>
      <c r="G48" s="944"/>
      <c r="H48" s="944"/>
      <c r="I48" s="944"/>
      <c r="J48" s="944"/>
      <c r="K48" s="944"/>
      <c r="L48" s="944"/>
      <c r="M48" s="944"/>
      <c r="N48" s="945"/>
      <c r="O48" s="947">
        <v>2</v>
      </c>
      <c r="P48" s="948"/>
      <c r="Q48" s="948"/>
      <c r="R48" s="949"/>
      <c r="S48" s="940"/>
      <c r="T48" s="941"/>
      <c r="U48" s="941"/>
      <c r="V48" s="942"/>
      <c r="W48" s="940"/>
      <c r="X48" s="941"/>
      <c r="Y48" s="941"/>
      <c r="Z48" s="942"/>
      <c r="AA48" s="940"/>
      <c r="AB48" s="941"/>
      <c r="AC48" s="941"/>
      <c r="AD48" s="942"/>
      <c r="AE48" s="940"/>
      <c r="AF48" s="941"/>
      <c r="AG48" s="941"/>
      <c r="AH48" s="941"/>
      <c r="AI48" s="941"/>
      <c r="AJ48" s="942"/>
      <c r="AK48" s="947" t="s">
        <v>430</v>
      </c>
      <c r="AL48" s="948"/>
      <c r="AM48" s="948"/>
      <c r="AN48" s="949"/>
      <c r="AO48" s="956"/>
      <c r="AP48" s="957"/>
      <c r="AQ48" s="957"/>
      <c r="AR48" s="957"/>
      <c r="AS48" s="957"/>
      <c r="AT48" s="958"/>
      <c r="AU48" s="956"/>
      <c r="AV48" s="957"/>
      <c r="AW48" s="957"/>
      <c r="AX48" s="957"/>
      <c r="AY48" s="957"/>
      <c r="AZ48" s="958"/>
      <c r="BA48" s="303"/>
      <c r="BB48" s="303"/>
    </row>
    <row r="49" spans="1:54" s="2" customFormat="1">
      <c r="A49" s="981"/>
      <c r="B49" s="205" t="s">
        <v>547</v>
      </c>
      <c r="C49" s="946"/>
      <c r="D49" s="943" t="s">
        <v>775</v>
      </c>
      <c r="E49" s="944"/>
      <c r="F49" s="944"/>
      <c r="G49" s="944"/>
      <c r="H49" s="944"/>
      <c r="I49" s="944"/>
      <c r="J49" s="944"/>
      <c r="K49" s="944"/>
      <c r="L49" s="944"/>
      <c r="M49" s="944"/>
      <c r="N49" s="945"/>
      <c r="O49" s="947">
        <v>2</v>
      </c>
      <c r="P49" s="948"/>
      <c r="Q49" s="948"/>
      <c r="R49" s="949"/>
      <c r="S49" s="940"/>
      <c r="T49" s="941"/>
      <c r="U49" s="941"/>
      <c r="V49" s="942"/>
      <c r="W49" s="940"/>
      <c r="X49" s="941"/>
      <c r="Y49" s="941"/>
      <c r="Z49" s="942"/>
      <c r="AA49" s="940"/>
      <c r="AB49" s="941"/>
      <c r="AC49" s="941"/>
      <c r="AD49" s="942"/>
      <c r="AE49" s="940"/>
      <c r="AF49" s="941"/>
      <c r="AG49" s="941"/>
      <c r="AH49" s="941"/>
      <c r="AI49" s="941"/>
      <c r="AJ49" s="942"/>
      <c r="AK49" s="947" t="s">
        <v>430</v>
      </c>
      <c r="AL49" s="948"/>
      <c r="AM49" s="948"/>
      <c r="AN49" s="949"/>
      <c r="AO49" s="956"/>
      <c r="AP49" s="957"/>
      <c r="AQ49" s="957"/>
      <c r="AR49" s="957"/>
      <c r="AS49" s="957"/>
      <c r="AT49" s="958"/>
      <c r="AU49" s="956"/>
      <c r="AV49" s="957"/>
      <c r="AW49" s="957"/>
      <c r="AX49" s="957"/>
      <c r="AY49" s="957"/>
      <c r="AZ49" s="958"/>
      <c r="BA49" s="303"/>
      <c r="BB49" s="303"/>
    </row>
    <row r="50" spans="1:54" s="2" customFormat="1">
      <c r="A50" s="981"/>
      <c r="B50" s="205" t="s">
        <v>548</v>
      </c>
      <c r="C50" s="946"/>
      <c r="D50" s="943" t="s">
        <v>776</v>
      </c>
      <c r="E50" s="944"/>
      <c r="F50" s="944"/>
      <c r="G50" s="944"/>
      <c r="H50" s="944"/>
      <c r="I50" s="944"/>
      <c r="J50" s="944"/>
      <c r="K50" s="944"/>
      <c r="L50" s="944"/>
      <c r="M50" s="944"/>
      <c r="N50" s="945"/>
      <c r="O50" s="947">
        <v>2</v>
      </c>
      <c r="P50" s="948"/>
      <c r="Q50" s="948"/>
      <c r="R50" s="949"/>
      <c r="S50" s="940"/>
      <c r="T50" s="941"/>
      <c r="U50" s="941"/>
      <c r="V50" s="942"/>
      <c r="W50" s="940"/>
      <c r="X50" s="941"/>
      <c r="Y50" s="941"/>
      <c r="Z50" s="942"/>
      <c r="AA50" s="940"/>
      <c r="AB50" s="941"/>
      <c r="AC50" s="941"/>
      <c r="AD50" s="942"/>
      <c r="AE50" s="940"/>
      <c r="AF50" s="941"/>
      <c r="AG50" s="941"/>
      <c r="AH50" s="941"/>
      <c r="AI50" s="941"/>
      <c r="AJ50" s="942"/>
      <c r="AK50" s="947" t="s">
        <v>430</v>
      </c>
      <c r="AL50" s="948"/>
      <c r="AM50" s="948"/>
      <c r="AN50" s="949"/>
      <c r="AO50" s="956"/>
      <c r="AP50" s="957"/>
      <c r="AQ50" s="957"/>
      <c r="AR50" s="957"/>
      <c r="AS50" s="957"/>
      <c r="AT50" s="958"/>
      <c r="AU50" s="956"/>
      <c r="AV50" s="957"/>
      <c r="AW50" s="957"/>
      <c r="AX50" s="957"/>
      <c r="AY50" s="957"/>
      <c r="AZ50" s="958"/>
      <c r="BA50" s="303"/>
      <c r="BB50" s="303"/>
    </row>
    <row r="51" spans="1:54" s="2" customFormat="1">
      <c r="A51" s="981"/>
      <c r="B51" s="205" t="s">
        <v>549</v>
      </c>
      <c r="C51" s="946"/>
      <c r="D51" s="943" t="s">
        <v>777</v>
      </c>
      <c r="E51" s="944"/>
      <c r="F51" s="944"/>
      <c r="G51" s="944"/>
      <c r="H51" s="944"/>
      <c r="I51" s="944"/>
      <c r="J51" s="944"/>
      <c r="K51" s="944"/>
      <c r="L51" s="944"/>
      <c r="M51" s="944"/>
      <c r="N51" s="945"/>
      <c r="O51" s="947">
        <v>4</v>
      </c>
      <c r="P51" s="948"/>
      <c r="Q51" s="948"/>
      <c r="R51" s="949"/>
      <c r="S51" s="940">
        <f>W47</f>
        <v>45917</v>
      </c>
      <c r="T51" s="941"/>
      <c r="U51" s="941"/>
      <c r="V51" s="942"/>
      <c r="W51" s="940">
        <f>S51+1</f>
        <v>45918</v>
      </c>
      <c r="X51" s="941"/>
      <c r="Y51" s="941"/>
      <c r="Z51" s="942"/>
      <c r="AA51" s="940"/>
      <c r="AB51" s="941"/>
      <c r="AC51" s="941"/>
      <c r="AD51" s="942"/>
      <c r="AE51" s="940"/>
      <c r="AF51" s="941"/>
      <c r="AG51" s="941"/>
      <c r="AH51" s="941"/>
      <c r="AI51" s="941"/>
      <c r="AJ51" s="942"/>
      <c r="AK51" s="947" t="s">
        <v>430</v>
      </c>
      <c r="AL51" s="948"/>
      <c r="AM51" s="948"/>
      <c r="AN51" s="949"/>
      <c r="AO51" s="956"/>
      <c r="AP51" s="957"/>
      <c r="AQ51" s="957"/>
      <c r="AR51" s="957"/>
      <c r="AS51" s="957"/>
      <c r="AT51" s="958"/>
      <c r="AU51" s="956"/>
      <c r="AV51" s="957"/>
      <c r="AW51" s="957"/>
      <c r="AX51" s="957"/>
      <c r="AY51" s="957"/>
      <c r="AZ51" s="958"/>
      <c r="BA51" s="303"/>
      <c r="BB51" s="303"/>
    </row>
    <row r="52" spans="1:54" s="2" customFormat="1">
      <c r="A52" s="981"/>
      <c r="B52" s="205" t="s">
        <v>550</v>
      </c>
      <c r="C52" s="946"/>
      <c r="D52" s="943" t="s">
        <v>778</v>
      </c>
      <c r="E52" s="944"/>
      <c r="F52" s="944"/>
      <c r="G52" s="944"/>
      <c r="H52" s="944"/>
      <c r="I52" s="944"/>
      <c r="J52" s="944"/>
      <c r="K52" s="944"/>
      <c r="L52" s="944"/>
      <c r="M52" s="944"/>
      <c r="N52" s="945"/>
      <c r="O52" s="947">
        <v>4</v>
      </c>
      <c r="P52" s="948"/>
      <c r="Q52" s="948"/>
      <c r="R52" s="949"/>
      <c r="S52" s="953"/>
      <c r="T52" s="954"/>
      <c r="U52" s="954"/>
      <c r="V52" s="955"/>
      <c r="W52" s="953"/>
      <c r="X52" s="954"/>
      <c r="Y52" s="954"/>
      <c r="Z52" s="955"/>
      <c r="AA52" s="953"/>
      <c r="AB52" s="954"/>
      <c r="AC52" s="954"/>
      <c r="AD52" s="955"/>
      <c r="AE52" s="953"/>
      <c r="AF52" s="954"/>
      <c r="AG52" s="954"/>
      <c r="AH52" s="954"/>
      <c r="AI52" s="954"/>
      <c r="AJ52" s="955"/>
      <c r="AK52" s="947" t="s">
        <v>430</v>
      </c>
      <c r="AL52" s="948"/>
      <c r="AM52" s="948"/>
      <c r="AN52" s="949"/>
      <c r="AO52" s="956"/>
      <c r="AP52" s="957"/>
      <c r="AQ52" s="957"/>
      <c r="AR52" s="957"/>
      <c r="AS52" s="957"/>
      <c r="AT52" s="958"/>
      <c r="AU52" s="956"/>
      <c r="AV52" s="957"/>
      <c r="AW52" s="957"/>
      <c r="AX52" s="957"/>
      <c r="AY52" s="957"/>
      <c r="AZ52" s="958"/>
      <c r="BA52" s="303"/>
      <c r="BB52" s="303"/>
    </row>
    <row r="53" spans="1:54" s="2" customFormat="1">
      <c r="A53" s="981"/>
      <c r="B53" s="205" t="s">
        <v>551</v>
      </c>
      <c r="C53" s="946"/>
      <c r="D53" s="934" t="s">
        <v>301</v>
      </c>
      <c r="E53" s="935"/>
      <c r="F53" s="935"/>
      <c r="G53" s="935"/>
      <c r="H53" s="935"/>
      <c r="I53" s="935"/>
      <c r="J53" s="935"/>
      <c r="K53" s="935"/>
      <c r="L53" s="935"/>
      <c r="M53" s="935"/>
      <c r="N53" s="936"/>
      <c r="O53" s="937">
        <v>2</v>
      </c>
      <c r="P53" s="938"/>
      <c r="Q53" s="938"/>
      <c r="R53" s="939"/>
      <c r="S53" s="931">
        <f>W51+2</f>
        <v>45920</v>
      </c>
      <c r="T53" s="932"/>
      <c r="U53" s="932"/>
      <c r="V53" s="933"/>
      <c r="W53" s="931">
        <f>S53+1</f>
        <v>45921</v>
      </c>
      <c r="X53" s="932"/>
      <c r="Y53" s="932"/>
      <c r="Z53" s="933"/>
      <c r="AA53" s="931"/>
      <c r="AB53" s="932"/>
      <c r="AC53" s="932"/>
      <c r="AD53" s="933"/>
      <c r="AE53" s="931"/>
      <c r="AF53" s="932"/>
      <c r="AG53" s="932"/>
      <c r="AH53" s="932"/>
      <c r="AI53" s="932"/>
      <c r="AJ53" s="933"/>
      <c r="AK53" s="947" t="s">
        <v>430</v>
      </c>
      <c r="AL53" s="948"/>
      <c r="AM53" s="948"/>
      <c r="AN53" s="949"/>
      <c r="AO53" s="956"/>
      <c r="AP53" s="957"/>
      <c r="AQ53" s="957"/>
      <c r="AR53" s="957"/>
      <c r="AS53" s="957"/>
      <c r="AT53" s="958"/>
      <c r="AU53" s="956"/>
      <c r="AV53" s="957"/>
      <c r="AW53" s="957"/>
      <c r="AX53" s="957"/>
      <c r="AY53" s="957"/>
      <c r="AZ53" s="958"/>
      <c r="BA53" s="303"/>
      <c r="BB53" s="303"/>
    </row>
    <row r="54" spans="1:54" s="2" customFormat="1">
      <c r="A54" s="981"/>
      <c r="B54" s="205" t="s">
        <v>779</v>
      </c>
      <c r="C54" s="969"/>
      <c r="D54" s="934" t="s">
        <v>780</v>
      </c>
      <c r="E54" s="935"/>
      <c r="F54" s="935"/>
      <c r="G54" s="935"/>
      <c r="H54" s="935"/>
      <c r="I54" s="935"/>
      <c r="J54" s="935"/>
      <c r="K54" s="935"/>
      <c r="L54" s="935"/>
      <c r="M54" s="935"/>
      <c r="N54" s="936"/>
      <c r="O54" s="937">
        <v>6</v>
      </c>
      <c r="P54" s="938"/>
      <c r="Q54" s="938"/>
      <c r="R54" s="939"/>
      <c r="S54" s="953"/>
      <c r="T54" s="954"/>
      <c r="U54" s="954"/>
      <c r="V54" s="955"/>
      <c r="W54" s="953"/>
      <c r="X54" s="954"/>
      <c r="Y54" s="954"/>
      <c r="Z54" s="955"/>
      <c r="AA54" s="953"/>
      <c r="AB54" s="954"/>
      <c r="AC54" s="954"/>
      <c r="AD54" s="955"/>
      <c r="AE54" s="953"/>
      <c r="AF54" s="954"/>
      <c r="AG54" s="954"/>
      <c r="AH54" s="954"/>
      <c r="AI54" s="954"/>
      <c r="AJ54" s="955"/>
      <c r="AK54" s="947" t="s">
        <v>430</v>
      </c>
      <c r="AL54" s="948"/>
      <c r="AM54" s="948"/>
      <c r="AN54" s="949"/>
      <c r="AO54" s="956"/>
      <c r="AP54" s="957"/>
      <c r="AQ54" s="957"/>
      <c r="AR54" s="957"/>
      <c r="AS54" s="957"/>
      <c r="AT54" s="958"/>
      <c r="AU54" s="956"/>
      <c r="AV54" s="957"/>
      <c r="AW54" s="957"/>
      <c r="AX54" s="957"/>
      <c r="AY54" s="957"/>
      <c r="AZ54" s="958"/>
      <c r="BA54" s="303"/>
      <c r="BB54" s="303"/>
    </row>
    <row r="55" spans="1:54" s="2" customFormat="1">
      <c r="A55" s="981"/>
      <c r="B55" s="205" t="s">
        <v>781</v>
      </c>
      <c r="C55" s="968" t="s">
        <v>782</v>
      </c>
      <c r="D55" s="943" t="s">
        <v>783</v>
      </c>
      <c r="E55" s="944"/>
      <c r="F55" s="944"/>
      <c r="G55" s="944"/>
      <c r="H55" s="944"/>
      <c r="I55" s="944"/>
      <c r="J55" s="944"/>
      <c r="K55" s="944"/>
      <c r="L55" s="944"/>
      <c r="M55" s="944"/>
      <c r="N55" s="945"/>
      <c r="O55" s="947">
        <v>4</v>
      </c>
      <c r="P55" s="948"/>
      <c r="Q55" s="948"/>
      <c r="R55" s="949"/>
      <c r="S55" s="931">
        <f>W53+2</f>
        <v>45923</v>
      </c>
      <c r="T55" s="932"/>
      <c r="U55" s="932"/>
      <c r="V55" s="933"/>
      <c r="W55" s="931">
        <f>S55+1</f>
        <v>45924</v>
      </c>
      <c r="X55" s="932"/>
      <c r="Y55" s="932"/>
      <c r="Z55" s="933"/>
      <c r="AA55" s="298"/>
      <c r="AB55" s="293"/>
      <c r="AC55" s="293"/>
      <c r="AD55" s="285"/>
      <c r="AE55" s="298"/>
      <c r="AF55" s="293"/>
      <c r="AG55" s="293"/>
      <c r="AH55" s="293"/>
      <c r="AI55" s="293"/>
      <c r="AJ55" s="285"/>
      <c r="AK55" s="947" t="s">
        <v>430</v>
      </c>
      <c r="AL55" s="948"/>
      <c r="AM55" s="948"/>
      <c r="AN55" s="949"/>
      <c r="AO55" s="286"/>
      <c r="AP55" s="287"/>
      <c r="AQ55" s="287"/>
      <c r="AR55" s="287"/>
      <c r="AS55" s="287"/>
      <c r="AT55" s="288"/>
      <c r="AU55" s="286"/>
      <c r="AV55" s="287"/>
      <c r="AW55" s="287"/>
      <c r="AX55" s="287"/>
      <c r="AY55" s="287"/>
      <c r="AZ55" s="288"/>
      <c r="BA55" s="303"/>
      <c r="BB55" s="303"/>
    </row>
    <row r="56" spans="1:54" s="2" customFormat="1">
      <c r="A56" s="981"/>
      <c r="B56" s="205" t="s">
        <v>784</v>
      </c>
      <c r="C56" s="969"/>
      <c r="D56" s="943" t="s">
        <v>785</v>
      </c>
      <c r="E56" s="944"/>
      <c r="F56" s="944"/>
      <c r="G56" s="944"/>
      <c r="H56" s="944"/>
      <c r="I56" s="944"/>
      <c r="J56" s="944"/>
      <c r="K56" s="944"/>
      <c r="L56" s="944"/>
      <c r="M56" s="944"/>
      <c r="N56" s="945"/>
      <c r="O56" s="947">
        <v>4</v>
      </c>
      <c r="P56" s="948"/>
      <c r="Q56" s="948"/>
      <c r="R56" s="949"/>
      <c r="S56" s="953"/>
      <c r="T56" s="954"/>
      <c r="U56" s="954"/>
      <c r="V56" s="955"/>
      <c r="W56" s="953"/>
      <c r="X56" s="954"/>
      <c r="Y56" s="954"/>
      <c r="Z56" s="955"/>
      <c r="AA56" s="298"/>
      <c r="AB56" s="293"/>
      <c r="AC56" s="293"/>
      <c r="AD56" s="285"/>
      <c r="AE56" s="298"/>
      <c r="AF56" s="293"/>
      <c r="AG56" s="293"/>
      <c r="AH56" s="293"/>
      <c r="AI56" s="293"/>
      <c r="AJ56" s="285"/>
      <c r="AK56" s="947" t="s">
        <v>430</v>
      </c>
      <c r="AL56" s="948"/>
      <c r="AM56" s="948"/>
      <c r="AN56" s="949"/>
      <c r="AO56" s="286"/>
      <c r="AP56" s="287"/>
      <c r="AQ56" s="287"/>
      <c r="AR56" s="287"/>
      <c r="AS56" s="287"/>
      <c r="AT56" s="288"/>
      <c r="AU56" s="286"/>
      <c r="AV56" s="287"/>
      <c r="AW56" s="287"/>
      <c r="AX56" s="287"/>
      <c r="AY56" s="287"/>
      <c r="AZ56" s="288"/>
      <c r="BA56" s="303"/>
      <c r="BB56" s="303"/>
    </row>
    <row r="57" spans="1:54" s="2" customFormat="1">
      <c r="A57" s="981"/>
      <c r="B57" s="205" t="s">
        <v>786</v>
      </c>
      <c r="C57" s="968" t="s">
        <v>787</v>
      </c>
      <c r="D57" s="943" t="s">
        <v>788</v>
      </c>
      <c r="E57" s="944"/>
      <c r="F57" s="944"/>
      <c r="G57" s="944"/>
      <c r="H57" s="944"/>
      <c r="I57" s="944"/>
      <c r="J57" s="944"/>
      <c r="K57" s="944"/>
      <c r="L57" s="944"/>
      <c r="M57" s="944"/>
      <c r="N57" s="945"/>
      <c r="O57" s="947">
        <v>4</v>
      </c>
      <c r="P57" s="948"/>
      <c r="Q57" s="948"/>
      <c r="R57" s="949"/>
      <c r="S57" s="931">
        <f>W53</f>
        <v>45921</v>
      </c>
      <c r="T57" s="932"/>
      <c r="U57" s="932"/>
      <c r="V57" s="933"/>
      <c r="W57" s="931">
        <f>S57+1</f>
        <v>45922</v>
      </c>
      <c r="X57" s="932"/>
      <c r="Y57" s="932"/>
      <c r="Z57" s="933"/>
      <c r="AA57" s="931"/>
      <c r="AB57" s="932"/>
      <c r="AC57" s="932"/>
      <c r="AD57" s="933"/>
      <c r="AE57" s="931"/>
      <c r="AF57" s="932"/>
      <c r="AG57" s="932"/>
      <c r="AH57" s="932"/>
      <c r="AI57" s="932"/>
      <c r="AJ57" s="933"/>
      <c r="AK57" s="947" t="s">
        <v>430</v>
      </c>
      <c r="AL57" s="948"/>
      <c r="AM57" s="948"/>
      <c r="AN57" s="949"/>
      <c r="AO57" s="956"/>
      <c r="AP57" s="957"/>
      <c r="AQ57" s="957"/>
      <c r="AR57" s="957"/>
      <c r="AS57" s="957"/>
      <c r="AT57" s="958"/>
      <c r="AU57" s="956"/>
      <c r="AV57" s="957"/>
      <c r="AW57" s="957"/>
      <c r="AX57" s="957"/>
      <c r="AY57" s="957"/>
      <c r="AZ57" s="958"/>
      <c r="BA57" s="303"/>
      <c r="BB57" s="303"/>
    </row>
    <row r="58" spans="1:54" s="2" customFormat="1">
      <c r="A58" s="981"/>
      <c r="B58" s="205" t="s">
        <v>789</v>
      </c>
      <c r="C58" s="969"/>
      <c r="D58" s="943" t="s">
        <v>790</v>
      </c>
      <c r="E58" s="944"/>
      <c r="F58" s="944"/>
      <c r="G58" s="944"/>
      <c r="H58" s="944"/>
      <c r="I58" s="944"/>
      <c r="J58" s="944"/>
      <c r="K58" s="944"/>
      <c r="L58" s="944"/>
      <c r="M58" s="944"/>
      <c r="N58" s="945"/>
      <c r="O58" s="947">
        <v>4</v>
      </c>
      <c r="P58" s="948"/>
      <c r="Q58" s="948"/>
      <c r="R58" s="949"/>
      <c r="S58" s="953"/>
      <c r="T58" s="954"/>
      <c r="U58" s="954"/>
      <c r="V58" s="955"/>
      <c r="W58" s="953"/>
      <c r="X58" s="954"/>
      <c r="Y58" s="954"/>
      <c r="Z58" s="955"/>
      <c r="AA58" s="953"/>
      <c r="AB58" s="954"/>
      <c r="AC58" s="954"/>
      <c r="AD58" s="955"/>
      <c r="AE58" s="953"/>
      <c r="AF58" s="954"/>
      <c r="AG58" s="954"/>
      <c r="AH58" s="954"/>
      <c r="AI58" s="954"/>
      <c r="AJ58" s="955"/>
      <c r="AK58" s="947" t="s">
        <v>430</v>
      </c>
      <c r="AL58" s="948"/>
      <c r="AM58" s="948"/>
      <c r="AN58" s="949"/>
      <c r="AO58" s="956"/>
      <c r="AP58" s="957"/>
      <c r="AQ58" s="957"/>
      <c r="AR58" s="957"/>
      <c r="AS58" s="957"/>
      <c r="AT58" s="958"/>
      <c r="AU58" s="956"/>
      <c r="AV58" s="957"/>
      <c r="AW58" s="957"/>
      <c r="AX58" s="957"/>
      <c r="AY58" s="957"/>
      <c r="AZ58" s="958"/>
      <c r="BA58" s="303"/>
      <c r="BB58" s="303"/>
    </row>
    <row r="59" spans="1:54" s="2" customFormat="1">
      <c r="A59" s="981"/>
      <c r="B59" s="205" t="s">
        <v>791</v>
      </c>
      <c r="C59" s="968" t="s">
        <v>792</v>
      </c>
      <c r="D59" s="943" t="s">
        <v>793</v>
      </c>
      <c r="E59" s="944"/>
      <c r="F59" s="944"/>
      <c r="G59" s="944"/>
      <c r="H59" s="944"/>
      <c r="I59" s="944"/>
      <c r="J59" s="944"/>
      <c r="K59" s="944"/>
      <c r="L59" s="944"/>
      <c r="M59" s="944"/>
      <c r="N59" s="945"/>
      <c r="O59" s="947">
        <v>2</v>
      </c>
      <c r="P59" s="948"/>
      <c r="Q59" s="948"/>
      <c r="R59" s="949"/>
      <c r="S59" s="931">
        <f>W57</f>
        <v>45922</v>
      </c>
      <c r="T59" s="932"/>
      <c r="U59" s="932"/>
      <c r="V59" s="933"/>
      <c r="W59" s="931">
        <f>S59+1</f>
        <v>45923</v>
      </c>
      <c r="X59" s="932"/>
      <c r="Y59" s="932"/>
      <c r="Z59" s="933"/>
      <c r="AA59" s="931"/>
      <c r="AB59" s="932"/>
      <c r="AC59" s="932"/>
      <c r="AD59" s="933"/>
      <c r="AE59" s="931"/>
      <c r="AF59" s="932"/>
      <c r="AG59" s="932"/>
      <c r="AH59" s="932"/>
      <c r="AI59" s="932"/>
      <c r="AJ59" s="933"/>
      <c r="AK59" s="947" t="s">
        <v>430</v>
      </c>
      <c r="AL59" s="948"/>
      <c r="AM59" s="948"/>
      <c r="AN59" s="949"/>
      <c r="AO59" s="956"/>
      <c r="AP59" s="957"/>
      <c r="AQ59" s="957"/>
      <c r="AR59" s="957"/>
      <c r="AS59" s="957"/>
      <c r="AT59" s="958"/>
      <c r="AU59" s="956"/>
      <c r="AV59" s="957"/>
      <c r="AW59" s="957"/>
      <c r="AX59" s="957"/>
      <c r="AY59" s="957"/>
      <c r="AZ59" s="958"/>
      <c r="BA59" s="303"/>
      <c r="BB59" s="303"/>
    </row>
    <row r="60" spans="1:54" s="2" customFormat="1" ht="15" customHeight="1">
      <c r="A60" s="981"/>
      <c r="B60" s="205" t="s">
        <v>794</v>
      </c>
      <c r="C60" s="946"/>
      <c r="D60" s="943" t="s">
        <v>795</v>
      </c>
      <c r="E60" s="944"/>
      <c r="F60" s="944"/>
      <c r="G60" s="944"/>
      <c r="H60" s="944"/>
      <c r="I60" s="944"/>
      <c r="J60" s="944"/>
      <c r="K60" s="944"/>
      <c r="L60" s="944"/>
      <c r="M60" s="944"/>
      <c r="N60" s="945"/>
      <c r="O60" s="947">
        <v>2</v>
      </c>
      <c r="P60" s="948"/>
      <c r="Q60" s="948"/>
      <c r="R60" s="949"/>
      <c r="S60" s="940"/>
      <c r="T60" s="941"/>
      <c r="U60" s="941"/>
      <c r="V60" s="942"/>
      <c r="W60" s="940"/>
      <c r="X60" s="941"/>
      <c r="Y60" s="941"/>
      <c r="Z60" s="942"/>
      <c r="AA60" s="940"/>
      <c r="AB60" s="941"/>
      <c r="AC60" s="941"/>
      <c r="AD60" s="942"/>
      <c r="AE60" s="940"/>
      <c r="AF60" s="941"/>
      <c r="AG60" s="941"/>
      <c r="AH60" s="941"/>
      <c r="AI60" s="941"/>
      <c r="AJ60" s="942"/>
      <c r="AK60" s="947" t="s">
        <v>430</v>
      </c>
      <c r="AL60" s="948"/>
      <c r="AM60" s="948"/>
      <c r="AN60" s="949"/>
      <c r="AO60" s="963"/>
      <c r="AP60" s="957"/>
      <c r="AQ60" s="957"/>
      <c r="AR60" s="957"/>
      <c r="AS60" s="957"/>
      <c r="AT60" s="958"/>
      <c r="AU60" s="963" t="s">
        <v>796</v>
      </c>
      <c r="AV60" s="957"/>
      <c r="AW60" s="957"/>
      <c r="AX60" s="957"/>
      <c r="AY60" s="957"/>
      <c r="AZ60" s="958"/>
      <c r="BA60" s="303"/>
      <c r="BB60" s="303"/>
    </row>
    <row r="61" spans="1:54" s="2" customFormat="1">
      <c r="A61" s="981"/>
      <c r="B61" s="205" t="s">
        <v>797</v>
      </c>
      <c r="C61" s="946"/>
      <c r="D61" s="943" t="s">
        <v>798</v>
      </c>
      <c r="E61" s="944"/>
      <c r="F61" s="944"/>
      <c r="G61" s="944"/>
      <c r="H61" s="944"/>
      <c r="I61" s="944"/>
      <c r="J61" s="944"/>
      <c r="K61" s="944"/>
      <c r="L61" s="944"/>
      <c r="M61" s="944"/>
      <c r="N61" s="945"/>
      <c r="O61" s="947">
        <v>4</v>
      </c>
      <c r="P61" s="948"/>
      <c r="Q61" s="948"/>
      <c r="R61" s="949"/>
      <c r="S61" s="940"/>
      <c r="T61" s="941"/>
      <c r="U61" s="941"/>
      <c r="V61" s="942"/>
      <c r="W61" s="940"/>
      <c r="X61" s="941"/>
      <c r="Y61" s="941"/>
      <c r="Z61" s="942"/>
      <c r="AA61" s="940"/>
      <c r="AB61" s="941"/>
      <c r="AC61" s="941"/>
      <c r="AD61" s="942"/>
      <c r="AE61" s="940"/>
      <c r="AF61" s="941"/>
      <c r="AG61" s="941"/>
      <c r="AH61" s="941"/>
      <c r="AI61" s="941"/>
      <c r="AJ61" s="942"/>
      <c r="AK61" s="947" t="s">
        <v>430</v>
      </c>
      <c r="AL61" s="948"/>
      <c r="AM61" s="948"/>
      <c r="AN61" s="949"/>
      <c r="AO61" s="956"/>
      <c r="AP61" s="957"/>
      <c r="AQ61" s="957"/>
      <c r="AR61" s="957"/>
      <c r="AS61" s="957"/>
      <c r="AT61" s="958"/>
      <c r="AU61" s="956"/>
      <c r="AV61" s="957"/>
      <c r="AW61" s="957"/>
      <c r="AX61" s="957"/>
      <c r="AY61" s="957"/>
      <c r="AZ61" s="958"/>
      <c r="BA61" s="303"/>
      <c r="BB61" s="303"/>
    </row>
    <row r="62" spans="1:54" s="2" customFormat="1">
      <c r="A62" s="981"/>
      <c r="B62" s="205" t="s">
        <v>799</v>
      </c>
      <c r="C62" s="946"/>
      <c r="D62" s="943" t="s">
        <v>800</v>
      </c>
      <c r="E62" s="944"/>
      <c r="F62" s="944"/>
      <c r="G62" s="944"/>
      <c r="H62" s="944"/>
      <c r="I62" s="944"/>
      <c r="J62" s="944"/>
      <c r="K62" s="944"/>
      <c r="L62" s="944"/>
      <c r="M62" s="944"/>
      <c r="N62" s="945"/>
      <c r="O62" s="947">
        <v>4</v>
      </c>
      <c r="P62" s="948"/>
      <c r="Q62" s="948"/>
      <c r="R62" s="949"/>
      <c r="S62" s="940">
        <f>W59</f>
        <v>45923</v>
      </c>
      <c r="T62" s="941"/>
      <c r="U62" s="941"/>
      <c r="V62" s="942"/>
      <c r="W62" s="940">
        <f>S62+1</f>
        <v>45924</v>
      </c>
      <c r="X62" s="941"/>
      <c r="Y62" s="941"/>
      <c r="Z62" s="942"/>
      <c r="AA62" s="940"/>
      <c r="AB62" s="941"/>
      <c r="AC62" s="941"/>
      <c r="AD62" s="942"/>
      <c r="AE62" s="940"/>
      <c r="AF62" s="941"/>
      <c r="AG62" s="941"/>
      <c r="AH62" s="941"/>
      <c r="AI62" s="941"/>
      <c r="AJ62" s="942"/>
      <c r="AK62" s="947" t="s">
        <v>430</v>
      </c>
      <c r="AL62" s="948"/>
      <c r="AM62" s="948"/>
      <c r="AN62" s="949"/>
      <c r="AO62" s="956"/>
      <c r="AP62" s="957"/>
      <c r="AQ62" s="957"/>
      <c r="AR62" s="957"/>
      <c r="AS62" s="957"/>
      <c r="AT62" s="958"/>
      <c r="AU62" s="956"/>
      <c r="AV62" s="957"/>
      <c r="AW62" s="957"/>
      <c r="AX62" s="957"/>
      <c r="AY62" s="957"/>
      <c r="AZ62" s="958"/>
      <c r="BA62" s="303"/>
      <c r="BB62" s="303"/>
    </row>
    <row r="63" spans="1:54" s="2" customFormat="1">
      <c r="A63" s="981"/>
      <c r="B63" s="205" t="s">
        <v>801</v>
      </c>
      <c r="C63" s="946"/>
      <c r="D63" s="943" t="s">
        <v>802</v>
      </c>
      <c r="E63" s="944"/>
      <c r="F63" s="944"/>
      <c r="G63" s="944"/>
      <c r="H63" s="944"/>
      <c r="I63" s="944"/>
      <c r="J63" s="944"/>
      <c r="K63" s="944"/>
      <c r="L63" s="944"/>
      <c r="M63" s="944"/>
      <c r="N63" s="945"/>
      <c r="O63" s="947">
        <v>4</v>
      </c>
      <c r="P63" s="948"/>
      <c r="Q63" s="948"/>
      <c r="R63" s="949"/>
      <c r="S63" s="940"/>
      <c r="T63" s="941"/>
      <c r="U63" s="941"/>
      <c r="V63" s="942"/>
      <c r="W63" s="940"/>
      <c r="X63" s="941"/>
      <c r="Y63" s="941"/>
      <c r="Z63" s="942"/>
      <c r="AA63" s="940"/>
      <c r="AB63" s="941"/>
      <c r="AC63" s="941"/>
      <c r="AD63" s="942"/>
      <c r="AE63" s="940"/>
      <c r="AF63" s="941"/>
      <c r="AG63" s="941"/>
      <c r="AH63" s="941"/>
      <c r="AI63" s="941"/>
      <c r="AJ63" s="942"/>
      <c r="AK63" s="947" t="s">
        <v>430</v>
      </c>
      <c r="AL63" s="948"/>
      <c r="AM63" s="948"/>
      <c r="AN63" s="949"/>
      <c r="AO63" s="956"/>
      <c r="AP63" s="957"/>
      <c r="AQ63" s="957"/>
      <c r="AR63" s="957"/>
      <c r="AS63" s="957"/>
      <c r="AT63" s="958"/>
      <c r="AU63" s="956"/>
      <c r="AV63" s="957"/>
      <c r="AW63" s="957"/>
      <c r="AX63" s="957"/>
      <c r="AY63" s="957"/>
      <c r="AZ63" s="958"/>
      <c r="BA63" s="303"/>
      <c r="BB63" s="303"/>
    </row>
    <row r="64" spans="1:54" s="2" customFormat="1">
      <c r="A64" s="981"/>
      <c r="B64" s="205" t="s">
        <v>803</v>
      </c>
      <c r="C64" s="946"/>
      <c r="D64" s="934" t="s">
        <v>301</v>
      </c>
      <c r="E64" s="935"/>
      <c r="F64" s="935"/>
      <c r="G64" s="935"/>
      <c r="H64" s="935"/>
      <c r="I64" s="935"/>
      <c r="J64" s="935"/>
      <c r="K64" s="935"/>
      <c r="L64" s="935"/>
      <c r="M64" s="935"/>
      <c r="N64" s="936"/>
      <c r="O64" s="937">
        <v>2</v>
      </c>
      <c r="P64" s="938"/>
      <c r="Q64" s="938"/>
      <c r="R64" s="939"/>
      <c r="S64" s="940">
        <f>W62</f>
        <v>45924</v>
      </c>
      <c r="T64" s="941"/>
      <c r="U64" s="941"/>
      <c r="V64" s="942"/>
      <c r="W64" s="940">
        <f>S64+1</f>
        <v>45925</v>
      </c>
      <c r="X64" s="941"/>
      <c r="Y64" s="941"/>
      <c r="Z64" s="942"/>
      <c r="AA64" s="940"/>
      <c r="AB64" s="941"/>
      <c r="AC64" s="941"/>
      <c r="AD64" s="942"/>
      <c r="AE64" s="940"/>
      <c r="AF64" s="941"/>
      <c r="AG64" s="941"/>
      <c r="AH64" s="941"/>
      <c r="AI64" s="941"/>
      <c r="AJ64" s="942"/>
      <c r="AK64" s="947" t="s">
        <v>430</v>
      </c>
      <c r="AL64" s="948"/>
      <c r="AM64" s="948"/>
      <c r="AN64" s="949"/>
      <c r="AO64" s="956"/>
      <c r="AP64" s="957"/>
      <c r="AQ64" s="957"/>
      <c r="AR64" s="957"/>
      <c r="AS64" s="957"/>
      <c r="AT64" s="958"/>
      <c r="AU64" s="956"/>
      <c r="AV64" s="957"/>
      <c r="AW64" s="957"/>
      <c r="AX64" s="957"/>
      <c r="AY64" s="957"/>
      <c r="AZ64" s="958"/>
      <c r="BA64" s="303"/>
      <c r="BB64" s="303"/>
    </row>
    <row r="65" spans="1:88" s="2" customFormat="1">
      <c r="A65" s="981"/>
      <c r="B65" s="205" t="s">
        <v>804</v>
      </c>
      <c r="C65" s="969"/>
      <c r="D65" s="934" t="s">
        <v>780</v>
      </c>
      <c r="E65" s="935"/>
      <c r="F65" s="935"/>
      <c r="G65" s="935"/>
      <c r="H65" s="935"/>
      <c r="I65" s="935"/>
      <c r="J65" s="935"/>
      <c r="K65" s="935"/>
      <c r="L65" s="935"/>
      <c r="M65" s="935"/>
      <c r="N65" s="936"/>
      <c r="O65" s="937">
        <v>6</v>
      </c>
      <c r="P65" s="938"/>
      <c r="Q65" s="938"/>
      <c r="R65" s="939"/>
      <c r="S65" s="940"/>
      <c r="T65" s="941"/>
      <c r="U65" s="941"/>
      <c r="V65" s="942"/>
      <c r="W65" s="940"/>
      <c r="X65" s="941"/>
      <c r="Y65" s="941"/>
      <c r="Z65" s="942"/>
      <c r="AA65" s="940"/>
      <c r="AB65" s="941"/>
      <c r="AC65" s="941"/>
      <c r="AD65" s="942"/>
      <c r="AE65" s="940"/>
      <c r="AF65" s="941"/>
      <c r="AG65" s="941"/>
      <c r="AH65" s="941"/>
      <c r="AI65" s="941"/>
      <c r="AJ65" s="942"/>
      <c r="AK65" s="947" t="s">
        <v>430</v>
      </c>
      <c r="AL65" s="948"/>
      <c r="AM65" s="948"/>
      <c r="AN65" s="949"/>
      <c r="AO65" s="956"/>
      <c r="AP65" s="957"/>
      <c r="AQ65" s="957"/>
      <c r="AR65" s="957"/>
      <c r="AS65" s="957"/>
      <c r="AT65" s="958"/>
      <c r="AU65" s="956"/>
      <c r="AV65" s="957"/>
      <c r="AW65" s="957"/>
      <c r="AX65" s="957"/>
      <c r="AY65" s="957"/>
      <c r="AZ65" s="958"/>
      <c r="BA65" s="303"/>
      <c r="BB65" s="303"/>
    </row>
    <row r="66" spans="1:88" s="2" customFormat="1" ht="18.75" customHeight="1">
      <c r="A66" s="983" t="s">
        <v>805</v>
      </c>
      <c r="B66" s="984"/>
      <c r="C66" s="984"/>
      <c r="D66" s="984"/>
      <c r="E66" s="984"/>
      <c r="F66" s="984"/>
      <c r="G66" s="984"/>
      <c r="H66" s="984"/>
      <c r="I66" s="984"/>
      <c r="J66" s="984"/>
      <c r="K66" s="984"/>
      <c r="L66" s="984"/>
      <c r="M66" s="984"/>
      <c r="N66" s="984"/>
      <c r="O66" s="984"/>
      <c r="P66" s="984"/>
      <c r="Q66" s="984"/>
      <c r="R66" s="984"/>
      <c r="S66" s="984"/>
      <c r="T66" s="984"/>
      <c r="U66" s="984"/>
      <c r="V66" s="984"/>
      <c r="W66" s="984"/>
      <c r="X66" s="984"/>
      <c r="Y66" s="984"/>
      <c r="Z66" s="984"/>
      <c r="AA66" s="984"/>
      <c r="AB66" s="984"/>
      <c r="AC66" s="984"/>
      <c r="AD66" s="984"/>
      <c r="AE66" s="984"/>
      <c r="AF66" s="984"/>
      <c r="AG66" s="984"/>
      <c r="AH66" s="984"/>
      <c r="AI66" s="984"/>
      <c r="AJ66" s="984"/>
      <c r="AK66" s="984"/>
      <c r="AL66" s="984"/>
      <c r="AM66" s="984"/>
      <c r="AN66" s="984"/>
      <c r="AO66" s="984"/>
      <c r="AP66" s="984"/>
      <c r="AQ66" s="984"/>
      <c r="AR66" s="984"/>
      <c r="AS66" s="984"/>
      <c r="AT66" s="984"/>
      <c r="AU66" s="984"/>
      <c r="AV66" s="984"/>
      <c r="AW66" s="984"/>
      <c r="AX66" s="984"/>
      <c r="AY66" s="984"/>
      <c r="AZ66" s="984"/>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row>
    <row r="67" spans="1:88" s="2" customFormat="1" ht="17.25" customHeight="1">
      <c r="A67" s="980">
        <v>3</v>
      </c>
      <c r="B67" s="205" t="s">
        <v>804</v>
      </c>
      <c r="C67" s="968" t="s">
        <v>806</v>
      </c>
      <c r="D67" s="943" t="s">
        <v>807</v>
      </c>
      <c r="E67" s="944"/>
      <c r="F67" s="944"/>
      <c r="G67" s="944"/>
      <c r="H67" s="944"/>
      <c r="I67" s="944"/>
      <c r="J67" s="944"/>
      <c r="K67" s="944"/>
      <c r="L67" s="944"/>
      <c r="M67" s="944"/>
      <c r="N67" s="945"/>
      <c r="O67" s="947">
        <v>2</v>
      </c>
      <c r="P67" s="948"/>
      <c r="Q67" s="948"/>
      <c r="R67" s="949"/>
      <c r="S67" s="931">
        <f>W64+2</f>
        <v>45927</v>
      </c>
      <c r="T67" s="932"/>
      <c r="U67" s="932"/>
      <c r="V67" s="933"/>
      <c r="W67" s="931">
        <f>S67+1</f>
        <v>45928</v>
      </c>
      <c r="X67" s="932"/>
      <c r="Y67" s="932"/>
      <c r="Z67" s="933"/>
      <c r="AA67" s="931"/>
      <c r="AB67" s="932"/>
      <c r="AC67" s="932"/>
      <c r="AD67" s="933"/>
      <c r="AE67" s="931"/>
      <c r="AF67" s="932"/>
      <c r="AG67" s="932"/>
      <c r="AH67" s="932"/>
      <c r="AI67" s="932"/>
      <c r="AJ67" s="933"/>
      <c r="AK67" s="947" t="s">
        <v>430</v>
      </c>
      <c r="AL67" s="948"/>
      <c r="AM67" s="948"/>
      <c r="AN67" s="949"/>
      <c r="AO67" s="956"/>
      <c r="AP67" s="957"/>
      <c r="AQ67" s="957"/>
      <c r="AR67" s="957"/>
      <c r="AS67" s="957"/>
      <c r="AT67" s="958"/>
      <c r="AU67" s="956"/>
      <c r="AV67" s="957"/>
      <c r="AW67" s="957"/>
      <c r="AX67" s="957"/>
      <c r="AY67" s="957"/>
      <c r="AZ67" s="958"/>
      <c r="BA67" s="303"/>
      <c r="BB67" s="303"/>
    </row>
    <row r="68" spans="1:88" s="2" customFormat="1">
      <c r="A68" s="981"/>
      <c r="B68" s="205" t="s">
        <v>808</v>
      </c>
      <c r="C68" s="946"/>
      <c r="D68" s="943" t="s">
        <v>809</v>
      </c>
      <c r="E68" s="944"/>
      <c r="F68" s="944"/>
      <c r="G68" s="944"/>
      <c r="H68" s="944"/>
      <c r="I68" s="944"/>
      <c r="J68" s="944"/>
      <c r="K68" s="944"/>
      <c r="L68" s="944"/>
      <c r="M68" s="944"/>
      <c r="N68" s="945"/>
      <c r="O68" s="947">
        <v>2</v>
      </c>
      <c r="P68" s="948"/>
      <c r="Q68" s="948"/>
      <c r="R68" s="949"/>
      <c r="S68" s="940"/>
      <c r="T68" s="941"/>
      <c r="U68" s="941"/>
      <c r="V68" s="942"/>
      <c r="W68" s="940"/>
      <c r="X68" s="941"/>
      <c r="Y68" s="941"/>
      <c r="Z68" s="942"/>
      <c r="AA68" s="940"/>
      <c r="AB68" s="941"/>
      <c r="AC68" s="941"/>
      <c r="AD68" s="942"/>
      <c r="AE68" s="940"/>
      <c r="AF68" s="941"/>
      <c r="AG68" s="941"/>
      <c r="AH68" s="941"/>
      <c r="AI68" s="941"/>
      <c r="AJ68" s="942"/>
      <c r="AK68" s="947" t="s">
        <v>430</v>
      </c>
      <c r="AL68" s="948"/>
      <c r="AM68" s="948"/>
      <c r="AN68" s="949"/>
      <c r="AO68" s="956"/>
      <c r="AP68" s="957"/>
      <c r="AQ68" s="957"/>
      <c r="AR68" s="957"/>
      <c r="AS68" s="957"/>
      <c r="AT68" s="958"/>
      <c r="AU68" s="956"/>
      <c r="AV68" s="957"/>
      <c r="AW68" s="957"/>
      <c r="AX68" s="957"/>
      <c r="AY68" s="957"/>
      <c r="AZ68" s="958"/>
      <c r="BA68" s="303"/>
      <c r="BB68" s="303"/>
    </row>
    <row r="69" spans="1:88" s="2" customFormat="1">
      <c r="A69" s="981"/>
      <c r="B69" s="205" t="s">
        <v>810</v>
      </c>
      <c r="C69" s="946"/>
      <c r="D69" s="943" t="s">
        <v>811</v>
      </c>
      <c r="E69" s="944"/>
      <c r="F69" s="944"/>
      <c r="G69" s="944"/>
      <c r="H69" s="944"/>
      <c r="I69" s="944"/>
      <c r="J69" s="944"/>
      <c r="K69" s="944"/>
      <c r="L69" s="944"/>
      <c r="M69" s="944"/>
      <c r="N69" s="945"/>
      <c r="O69" s="947">
        <v>2</v>
      </c>
      <c r="P69" s="948"/>
      <c r="Q69" s="948"/>
      <c r="R69" s="949"/>
      <c r="S69" s="940"/>
      <c r="T69" s="941"/>
      <c r="U69" s="941"/>
      <c r="V69" s="942"/>
      <c r="W69" s="940"/>
      <c r="X69" s="941"/>
      <c r="Y69" s="941"/>
      <c r="Z69" s="942"/>
      <c r="AA69" s="940"/>
      <c r="AB69" s="941"/>
      <c r="AC69" s="941"/>
      <c r="AD69" s="942"/>
      <c r="AE69" s="940"/>
      <c r="AF69" s="941"/>
      <c r="AG69" s="941"/>
      <c r="AH69" s="941"/>
      <c r="AI69" s="941"/>
      <c r="AJ69" s="942"/>
      <c r="AK69" s="947" t="s">
        <v>430</v>
      </c>
      <c r="AL69" s="948"/>
      <c r="AM69" s="948"/>
      <c r="AN69" s="949"/>
      <c r="AO69" s="956"/>
      <c r="AP69" s="957"/>
      <c r="AQ69" s="957"/>
      <c r="AR69" s="957"/>
      <c r="AS69" s="957"/>
      <c r="AT69" s="958"/>
      <c r="AU69" s="956"/>
      <c r="AV69" s="957"/>
      <c r="AW69" s="957"/>
      <c r="AX69" s="957"/>
      <c r="AY69" s="957"/>
      <c r="AZ69" s="958"/>
      <c r="BA69" s="303"/>
      <c r="BB69" s="303"/>
    </row>
    <row r="70" spans="1:88" s="2" customFormat="1" ht="18" customHeight="1">
      <c r="A70" s="981"/>
      <c r="B70" s="205" t="s">
        <v>812</v>
      </c>
      <c r="C70" s="946"/>
      <c r="D70" s="943" t="s">
        <v>813</v>
      </c>
      <c r="E70" s="944"/>
      <c r="F70" s="944"/>
      <c r="G70" s="944"/>
      <c r="H70" s="944"/>
      <c r="I70" s="944"/>
      <c r="J70" s="944"/>
      <c r="K70" s="944"/>
      <c r="L70" s="944"/>
      <c r="M70" s="944"/>
      <c r="N70" s="945"/>
      <c r="O70" s="947">
        <v>2</v>
      </c>
      <c r="P70" s="948"/>
      <c r="Q70" s="948"/>
      <c r="R70" s="949"/>
      <c r="S70" s="940"/>
      <c r="T70" s="941"/>
      <c r="U70" s="941"/>
      <c r="V70" s="942"/>
      <c r="W70" s="940"/>
      <c r="X70" s="941"/>
      <c r="Y70" s="941"/>
      <c r="Z70" s="942"/>
      <c r="AA70" s="940"/>
      <c r="AB70" s="941"/>
      <c r="AC70" s="941"/>
      <c r="AD70" s="942"/>
      <c r="AE70" s="940"/>
      <c r="AF70" s="941"/>
      <c r="AG70" s="941"/>
      <c r="AH70" s="941"/>
      <c r="AI70" s="941"/>
      <c r="AJ70" s="942"/>
      <c r="AK70" s="947" t="s">
        <v>430</v>
      </c>
      <c r="AL70" s="948"/>
      <c r="AM70" s="948"/>
      <c r="AN70" s="949"/>
      <c r="AO70" s="956"/>
      <c r="AP70" s="957"/>
      <c r="AQ70" s="957"/>
      <c r="AR70" s="957"/>
      <c r="AS70" s="957"/>
      <c r="AT70" s="958"/>
      <c r="AU70" s="956"/>
      <c r="AV70" s="957"/>
      <c r="AW70" s="957"/>
      <c r="AX70" s="957"/>
      <c r="AY70" s="957"/>
      <c r="AZ70" s="958"/>
      <c r="BA70" s="303"/>
      <c r="BB70" s="303"/>
    </row>
    <row r="71" spans="1:88" s="2" customFormat="1" ht="18" customHeight="1">
      <c r="A71" s="981"/>
      <c r="B71" s="205" t="s">
        <v>814</v>
      </c>
      <c r="C71" s="946"/>
      <c r="D71" s="943" t="s">
        <v>815</v>
      </c>
      <c r="E71" s="944"/>
      <c r="F71" s="944"/>
      <c r="G71" s="944"/>
      <c r="H71" s="944"/>
      <c r="I71" s="944"/>
      <c r="J71" s="944"/>
      <c r="K71" s="944"/>
      <c r="L71" s="944"/>
      <c r="M71" s="944"/>
      <c r="N71" s="945"/>
      <c r="O71" s="947">
        <v>4</v>
      </c>
      <c r="P71" s="948"/>
      <c r="Q71" s="948"/>
      <c r="R71" s="949"/>
      <c r="S71" s="940">
        <f>W67</f>
        <v>45928</v>
      </c>
      <c r="T71" s="941"/>
      <c r="U71" s="941"/>
      <c r="V71" s="942"/>
      <c r="W71" s="940">
        <f>S71+1</f>
        <v>45929</v>
      </c>
      <c r="X71" s="941"/>
      <c r="Y71" s="941"/>
      <c r="Z71" s="942"/>
      <c r="AA71" s="940"/>
      <c r="AB71" s="941"/>
      <c r="AC71" s="941"/>
      <c r="AD71" s="942"/>
      <c r="AE71" s="940"/>
      <c r="AF71" s="941"/>
      <c r="AG71" s="941"/>
      <c r="AH71" s="941"/>
      <c r="AI71" s="941"/>
      <c r="AJ71" s="942"/>
      <c r="AK71" s="947" t="s">
        <v>430</v>
      </c>
      <c r="AL71" s="948"/>
      <c r="AM71" s="948"/>
      <c r="AN71" s="949"/>
      <c r="AO71" s="956"/>
      <c r="AP71" s="957"/>
      <c r="AQ71" s="957"/>
      <c r="AR71" s="957"/>
      <c r="AS71" s="957"/>
      <c r="AT71" s="958"/>
      <c r="AU71" s="956"/>
      <c r="AV71" s="957"/>
      <c r="AW71" s="957"/>
      <c r="AX71" s="957"/>
      <c r="AY71" s="957"/>
      <c r="AZ71" s="958"/>
      <c r="BA71" s="303"/>
      <c r="BB71" s="303"/>
    </row>
    <row r="72" spans="1:88" s="2" customFormat="1">
      <c r="A72" s="981"/>
      <c r="B72" s="205" t="s">
        <v>816</v>
      </c>
      <c r="C72" s="946"/>
      <c r="D72" s="943" t="s">
        <v>815</v>
      </c>
      <c r="E72" s="944"/>
      <c r="F72" s="944"/>
      <c r="G72" s="944"/>
      <c r="H72" s="944"/>
      <c r="I72" s="944"/>
      <c r="J72" s="944"/>
      <c r="K72" s="944"/>
      <c r="L72" s="944"/>
      <c r="M72" s="944"/>
      <c r="N72" s="945"/>
      <c r="O72" s="947">
        <v>4</v>
      </c>
      <c r="P72" s="948"/>
      <c r="Q72" s="948"/>
      <c r="R72" s="949"/>
      <c r="S72" s="953"/>
      <c r="T72" s="954"/>
      <c r="U72" s="954"/>
      <c r="V72" s="955"/>
      <c r="W72" s="953"/>
      <c r="X72" s="954"/>
      <c r="Y72" s="954"/>
      <c r="Z72" s="955"/>
      <c r="AA72" s="953"/>
      <c r="AB72" s="954"/>
      <c r="AC72" s="954"/>
      <c r="AD72" s="955"/>
      <c r="AE72" s="953"/>
      <c r="AF72" s="954"/>
      <c r="AG72" s="954"/>
      <c r="AH72" s="954"/>
      <c r="AI72" s="954"/>
      <c r="AJ72" s="955"/>
      <c r="AK72" s="947" t="s">
        <v>430</v>
      </c>
      <c r="AL72" s="948"/>
      <c r="AM72" s="948"/>
      <c r="AN72" s="949"/>
      <c r="AO72" s="956"/>
      <c r="AP72" s="957"/>
      <c r="AQ72" s="957"/>
      <c r="AR72" s="957"/>
      <c r="AS72" s="957"/>
      <c r="AT72" s="958"/>
      <c r="AU72" s="956"/>
      <c r="AV72" s="957"/>
      <c r="AW72" s="957"/>
      <c r="AX72" s="957"/>
      <c r="AY72" s="957"/>
      <c r="AZ72" s="958"/>
      <c r="BA72" s="303"/>
      <c r="BB72" s="303"/>
    </row>
    <row r="73" spans="1:88" s="2" customFormat="1" ht="20.25" customHeight="1">
      <c r="A73" s="981"/>
      <c r="B73" s="205" t="s">
        <v>817</v>
      </c>
      <c r="C73" s="946"/>
      <c r="D73" s="943" t="s">
        <v>818</v>
      </c>
      <c r="E73" s="944"/>
      <c r="F73" s="944"/>
      <c r="G73" s="944"/>
      <c r="H73" s="944"/>
      <c r="I73" s="944"/>
      <c r="J73" s="944"/>
      <c r="K73" s="944"/>
      <c r="L73" s="944"/>
      <c r="M73" s="944"/>
      <c r="N73" s="945"/>
      <c r="O73" s="947">
        <v>4</v>
      </c>
      <c r="P73" s="948"/>
      <c r="Q73" s="948"/>
      <c r="R73" s="949"/>
      <c r="S73" s="940">
        <f>W71</f>
        <v>45929</v>
      </c>
      <c r="T73" s="941"/>
      <c r="U73" s="941"/>
      <c r="V73" s="942"/>
      <c r="W73" s="940">
        <f>S73+1</f>
        <v>45930</v>
      </c>
      <c r="X73" s="941"/>
      <c r="Y73" s="941"/>
      <c r="Z73" s="942"/>
      <c r="AA73" s="940"/>
      <c r="AB73" s="941"/>
      <c r="AC73" s="941"/>
      <c r="AD73" s="942"/>
      <c r="AE73" s="940"/>
      <c r="AF73" s="941"/>
      <c r="AG73" s="941"/>
      <c r="AH73" s="941"/>
      <c r="AI73" s="941"/>
      <c r="AJ73" s="942"/>
      <c r="AK73" s="947" t="s">
        <v>430</v>
      </c>
      <c r="AL73" s="948"/>
      <c r="AM73" s="948"/>
      <c r="AN73" s="949"/>
      <c r="AO73" s="956"/>
      <c r="AP73" s="957"/>
      <c r="AQ73" s="957"/>
      <c r="AR73" s="957"/>
      <c r="AS73" s="957"/>
      <c r="AT73" s="958"/>
      <c r="AU73" s="956"/>
      <c r="AV73" s="957"/>
      <c r="AW73" s="957"/>
      <c r="AX73" s="957"/>
      <c r="AY73" s="957"/>
      <c r="AZ73" s="958"/>
      <c r="BA73" s="303"/>
      <c r="BB73" s="303"/>
    </row>
    <row r="74" spans="1:88" s="2" customFormat="1">
      <c r="A74" s="981"/>
      <c r="B74" s="205" t="s">
        <v>819</v>
      </c>
      <c r="C74" s="946"/>
      <c r="D74" s="934" t="s">
        <v>780</v>
      </c>
      <c r="E74" s="935"/>
      <c r="F74" s="935"/>
      <c r="G74" s="935"/>
      <c r="H74" s="935"/>
      <c r="I74" s="935"/>
      <c r="J74" s="935"/>
      <c r="K74" s="935"/>
      <c r="L74" s="935"/>
      <c r="M74" s="935"/>
      <c r="N74" s="936"/>
      <c r="O74" s="947">
        <v>4</v>
      </c>
      <c r="P74" s="948"/>
      <c r="Q74" s="948"/>
      <c r="R74" s="949"/>
      <c r="S74" s="953"/>
      <c r="T74" s="954"/>
      <c r="U74" s="954"/>
      <c r="V74" s="955"/>
      <c r="W74" s="953"/>
      <c r="X74" s="954"/>
      <c r="Y74" s="954"/>
      <c r="Z74" s="955"/>
      <c r="AA74" s="953"/>
      <c r="AB74" s="954"/>
      <c r="AC74" s="954"/>
      <c r="AD74" s="955"/>
      <c r="AE74" s="953"/>
      <c r="AF74" s="954"/>
      <c r="AG74" s="954"/>
      <c r="AH74" s="954"/>
      <c r="AI74" s="954"/>
      <c r="AJ74" s="955"/>
      <c r="AK74" s="947" t="s">
        <v>430</v>
      </c>
      <c r="AL74" s="948"/>
      <c r="AM74" s="948"/>
      <c r="AN74" s="949"/>
      <c r="AO74" s="956"/>
      <c r="AP74" s="957"/>
      <c r="AQ74" s="957"/>
      <c r="AR74" s="957"/>
      <c r="AS74" s="957"/>
      <c r="AT74" s="958"/>
      <c r="AU74" s="956"/>
      <c r="AV74" s="957"/>
      <c r="AW74" s="957"/>
      <c r="AX74" s="957"/>
      <c r="AY74" s="957"/>
      <c r="AZ74" s="958"/>
      <c r="BA74" s="303"/>
      <c r="BB74" s="303"/>
    </row>
    <row r="75" spans="1:88" s="2" customFormat="1">
      <c r="A75" s="981"/>
      <c r="B75" s="205" t="s">
        <v>820</v>
      </c>
      <c r="C75" s="946" t="s">
        <v>821</v>
      </c>
      <c r="D75" s="943" t="s">
        <v>822</v>
      </c>
      <c r="E75" s="944"/>
      <c r="F75" s="944"/>
      <c r="G75" s="944"/>
      <c r="H75" s="944"/>
      <c r="I75" s="944"/>
      <c r="J75" s="944"/>
      <c r="K75" s="944"/>
      <c r="L75" s="944"/>
      <c r="M75" s="944"/>
      <c r="N75" s="945"/>
      <c r="O75" s="947">
        <v>4</v>
      </c>
      <c r="P75" s="948"/>
      <c r="Q75" s="948"/>
      <c r="R75" s="949"/>
      <c r="S75" s="940">
        <f>W73</f>
        <v>45930</v>
      </c>
      <c r="T75" s="941"/>
      <c r="U75" s="941"/>
      <c r="V75" s="942"/>
      <c r="W75" s="940">
        <f>S75+1</f>
        <v>45931</v>
      </c>
      <c r="X75" s="941"/>
      <c r="Y75" s="941"/>
      <c r="Z75" s="942"/>
      <c r="AA75" s="940"/>
      <c r="AB75" s="941"/>
      <c r="AC75" s="941"/>
      <c r="AD75" s="942"/>
      <c r="AE75" s="931"/>
      <c r="AF75" s="932"/>
      <c r="AG75" s="932"/>
      <c r="AH75" s="932"/>
      <c r="AI75" s="932"/>
      <c r="AJ75" s="933"/>
      <c r="AK75" s="947" t="s">
        <v>430</v>
      </c>
      <c r="AL75" s="948"/>
      <c r="AM75" s="948"/>
      <c r="AN75" s="949"/>
      <c r="AO75" s="956"/>
      <c r="AP75" s="957"/>
      <c r="AQ75" s="957"/>
      <c r="AR75" s="957"/>
      <c r="AS75" s="957"/>
      <c r="AT75" s="958"/>
      <c r="AU75" s="956"/>
      <c r="AV75" s="957"/>
      <c r="AW75" s="957"/>
      <c r="AX75" s="957"/>
      <c r="AY75" s="957"/>
      <c r="AZ75" s="958"/>
      <c r="BA75" s="303"/>
      <c r="BB75" s="303"/>
    </row>
    <row r="76" spans="1:88" s="2" customFormat="1" ht="17.25" customHeight="1">
      <c r="A76" s="981"/>
      <c r="B76" s="205" t="s">
        <v>823</v>
      </c>
      <c r="C76" s="969"/>
      <c r="D76" s="943" t="s">
        <v>824</v>
      </c>
      <c r="E76" s="944"/>
      <c r="F76" s="944"/>
      <c r="G76" s="944"/>
      <c r="H76" s="944"/>
      <c r="I76" s="944"/>
      <c r="J76" s="944"/>
      <c r="K76" s="944"/>
      <c r="L76" s="944"/>
      <c r="M76" s="944"/>
      <c r="N76" s="945"/>
      <c r="O76" s="947">
        <v>2</v>
      </c>
      <c r="P76" s="948"/>
      <c r="Q76" s="948"/>
      <c r="R76" s="949"/>
      <c r="S76" s="940"/>
      <c r="T76" s="941"/>
      <c r="U76" s="941"/>
      <c r="V76" s="942"/>
      <c r="W76" s="940"/>
      <c r="X76" s="941"/>
      <c r="Y76" s="941"/>
      <c r="Z76" s="942"/>
      <c r="AA76" s="940"/>
      <c r="AB76" s="941"/>
      <c r="AC76" s="941"/>
      <c r="AD76" s="942"/>
      <c r="AE76" s="940"/>
      <c r="AF76" s="941"/>
      <c r="AG76" s="941"/>
      <c r="AH76" s="941"/>
      <c r="AI76" s="941"/>
      <c r="AJ76" s="942"/>
      <c r="AK76" s="947" t="s">
        <v>430</v>
      </c>
      <c r="AL76" s="948"/>
      <c r="AM76" s="948"/>
      <c r="AN76" s="949"/>
      <c r="AO76" s="956"/>
      <c r="AP76" s="957"/>
      <c r="AQ76" s="957"/>
      <c r="AR76" s="957"/>
      <c r="AS76" s="957"/>
      <c r="AT76" s="958"/>
      <c r="AU76" s="956"/>
      <c r="AV76" s="957"/>
      <c r="AW76" s="957"/>
      <c r="AX76" s="957"/>
      <c r="AY76" s="957"/>
      <c r="AZ76" s="958"/>
      <c r="BA76" s="303"/>
      <c r="BB76" s="303"/>
    </row>
    <row r="77" spans="1:88" s="2" customFormat="1" ht="17.25" customHeight="1">
      <c r="A77" s="981"/>
      <c r="B77" s="205" t="s">
        <v>825</v>
      </c>
      <c r="C77" s="968" t="s">
        <v>826</v>
      </c>
      <c r="D77" s="943" t="s">
        <v>827</v>
      </c>
      <c r="E77" s="944"/>
      <c r="F77" s="944"/>
      <c r="G77" s="944"/>
      <c r="H77" s="944"/>
      <c r="I77" s="944"/>
      <c r="J77" s="944"/>
      <c r="K77" s="944"/>
      <c r="L77" s="944"/>
      <c r="M77" s="944"/>
      <c r="N77" s="945"/>
      <c r="O77" s="947">
        <v>2</v>
      </c>
      <c r="P77" s="948"/>
      <c r="Q77" s="948"/>
      <c r="R77" s="949"/>
      <c r="S77" s="940"/>
      <c r="T77" s="941"/>
      <c r="U77" s="941"/>
      <c r="V77" s="942"/>
      <c r="W77" s="940"/>
      <c r="X77" s="941"/>
      <c r="Y77" s="941"/>
      <c r="Z77" s="942"/>
      <c r="AA77" s="940"/>
      <c r="AB77" s="941"/>
      <c r="AC77" s="941"/>
      <c r="AD77" s="942"/>
      <c r="AE77" s="940"/>
      <c r="AF77" s="941"/>
      <c r="AG77" s="941"/>
      <c r="AH77" s="941"/>
      <c r="AI77" s="941"/>
      <c r="AJ77" s="942"/>
      <c r="AK77" s="947" t="s">
        <v>430</v>
      </c>
      <c r="AL77" s="948"/>
      <c r="AM77" s="948"/>
      <c r="AN77" s="949"/>
      <c r="AO77" s="956"/>
      <c r="AP77" s="957"/>
      <c r="AQ77" s="957"/>
      <c r="AR77" s="957"/>
      <c r="AS77" s="957"/>
      <c r="AT77" s="958"/>
      <c r="AU77" s="956"/>
      <c r="AV77" s="957"/>
      <c r="AW77" s="957"/>
      <c r="AX77" s="957"/>
      <c r="AY77" s="957"/>
      <c r="AZ77" s="958"/>
      <c r="BA77" s="303"/>
      <c r="BB77" s="303"/>
    </row>
    <row r="78" spans="1:88" s="2" customFormat="1" ht="17.25" customHeight="1">
      <c r="A78" s="981"/>
      <c r="B78" s="205" t="s">
        <v>828</v>
      </c>
      <c r="C78" s="946"/>
      <c r="D78" s="943" t="s">
        <v>829</v>
      </c>
      <c r="E78" s="944"/>
      <c r="F78" s="944"/>
      <c r="G78" s="944"/>
      <c r="H78" s="944"/>
      <c r="I78" s="944"/>
      <c r="J78" s="944"/>
      <c r="K78" s="944"/>
      <c r="L78" s="944"/>
      <c r="M78" s="944"/>
      <c r="N78" s="945"/>
      <c r="O78" s="947">
        <v>4</v>
      </c>
      <c r="P78" s="948"/>
      <c r="Q78" s="948"/>
      <c r="R78" s="949"/>
      <c r="S78" s="940">
        <f>W75</f>
        <v>45931</v>
      </c>
      <c r="T78" s="941"/>
      <c r="U78" s="941"/>
      <c r="V78" s="942"/>
      <c r="W78" s="940">
        <f>S78+1</f>
        <v>45932</v>
      </c>
      <c r="X78" s="941"/>
      <c r="Y78" s="941"/>
      <c r="Z78" s="942"/>
      <c r="AA78" s="940"/>
      <c r="AB78" s="941"/>
      <c r="AC78" s="941"/>
      <c r="AD78" s="942"/>
      <c r="AE78" s="940"/>
      <c r="AF78" s="941"/>
      <c r="AG78" s="941"/>
      <c r="AH78" s="941"/>
      <c r="AI78" s="941"/>
      <c r="AJ78" s="942"/>
      <c r="AK78" s="947" t="s">
        <v>430</v>
      </c>
      <c r="AL78" s="948"/>
      <c r="AM78" s="948"/>
      <c r="AN78" s="949"/>
      <c r="AO78" s="956"/>
      <c r="AP78" s="957"/>
      <c r="AQ78" s="957"/>
      <c r="AR78" s="957"/>
      <c r="AS78" s="957"/>
      <c r="AT78" s="958"/>
      <c r="AU78" s="956"/>
      <c r="AV78" s="957"/>
      <c r="AW78" s="957"/>
      <c r="AX78" s="957"/>
      <c r="AY78" s="957"/>
      <c r="AZ78" s="958"/>
      <c r="BA78" s="303"/>
      <c r="BB78" s="303"/>
    </row>
    <row r="79" spans="1:88" s="2" customFormat="1" ht="17.25" customHeight="1">
      <c r="A79" s="981"/>
      <c r="B79" s="205" t="s">
        <v>830</v>
      </c>
      <c r="C79" s="969"/>
      <c r="D79" s="943" t="s">
        <v>831</v>
      </c>
      <c r="E79" s="944"/>
      <c r="F79" s="944"/>
      <c r="G79" s="944"/>
      <c r="H79" s="944"/>
      <c r="I79" s="944"/>
      <c r="J79" s="944"/>
      <c r="K79" s="944"/>
      <c r="L79" s="944"/>
      <c r="M79" s="944"/>
      <c r="N79" s="945"/>
      <c r="O79" s="947">
        <v>4</v>
      </c>
      <c r="P79" s="948"/>
      <c r="Q79" s="948"/>
      <c r="R79" s="949"/>
      <c r="S79" s="940"/>
      <c r="T79" s="941"/>
      <c r="U79" s="941"/>
      <c r="V79" s="942"/>
      <c r="W79" s="940"/>
      <c r="X79" s="941"/>
      <c r="Y79" s="941"/>
      <c r="Z79" s="942"/>
      <c r="AA79" s="940"/>
      <c r="AB79" s="941"/>
      <c r="AC79" s="941"/>
      <c r="AD79" s="942"/>
      <c r="AE79" s="953"/>
      <c r="AF79" s="954"/>
      <c r="AG79" s="954"/>
      <c r="AH79" s="954"/>
      <c r="AI79" s="954"/>
      <c r="AJ79" s="955"/>
      <c r="AK79" s="947" t="s">
        <v>430</v>
      </c>
      <c r="AL79" s="948"/>
      <c r="AM79" s="948"/>
      <c r="AN79" s="949"/>
      <c r="AO79" s="956"/>
      <c r="AP79" s="957"/>
      <c r="AQ79" s="957"/>
      <c r="AR79" s="957"/>
      <c r="AS79" s="957"/>
      <c r="AT79" s="958"/>
      <c r="AU79" s="956"/>
      <c r="AV79" s="957"/>
      <c r="AW79" s="957"/>
      <c r="AX79" s="957"/>
      <c r="AY79" s="957"/>
      <c r="AZ79" s="958"/>
      <c r="BA79" s="303"/>
      <c r="BB79" s="303"/>
    </row>
    <row r="80" spans="1:88" s="2" customFormat="1" ht="17.25" customHeight="1">
      <c r="A80" s="981"/>
      <c r="B80" s="205" t="s">
        <v>832</v>
      </c>
      <c r="C80" s="206" t="s">
        <v>833</v>
      </c>
      <c r="D80" s="943" t="s">
        <v>834</v>
      </c>
      <c r="E80" s="944"/>
      <c r="F80" s="944"/>
      <c r="G80" s="944"/>
      <c r="H80" s="944"/>
      <c r="I80" s="944"/>
      <c r="J80" s="944"/>
      <c r="K80" s="944"/>
      <c r="L80" s="944"/>
      <c r="M80" s="944"/>
      <c r="N80" s="945"/>
      <c r="O80" s="947">
        <v>4</v>
      </c>
      <c r="P80" s="948"/>
      <c r="Q80" s="948"/>
      <c r="R80" s="949"/>
      <c r="S80" s="940">
        <f>W78+2</f>
        <v>45934</v>
      </c>
      <c r="T80" s="941"/>
      <c r="U80" s="941"/>
      <c r="V80" s="942"/>
      <c r="W80" s="940">
        <f>S80+1</f>
        <v>45935</v>
      </c>
      <c r="X80" s="941"/>
      <c r="Y80" s="941"/>
      <c r="Z80" s="942"/>
      <c r="AA80" s="940"/>
      <c r="AB80" s="941"/>
      <c r="AC80" s="941"/>
      <c r="AD80" s="942"/>
      <c r="AE80" s="940"/>
      <c r="AF80" s="941"/>
      <c r="AG80" s="941"/>
      <c r="AH80" s="941"/>
      <c r="AI80" s="941"/>
      <c r="AJ80" s="942"/>
      <c r="AK80" s="947" t="s">
        <v>430</v>
      </c>
      <c r="AL80" s="948"/>
      <c r="AM80" s="948"/>
      <c r="AN80" s="949"/>
      <c r="AO80" s="956"/>
      <c r="AP80" s="957"/>
      <c r="AQ80" s="957"/>
      <c r="AR80" s="957"/>
      <c r="AS80" s="957"/>
      <c r="AT80" s="958"/>
      <c r="AU80" s="956"/>
      <c r="AV80" s="957"/>
      <c r="AW80" s="957"/>
      <c r="AX80" s="957"/>
      <c r="AY80" s="957"/>
      <c r="AZ80" s="958"/>
      <c r="BA80" s="303"/>
      <c r="BB80" s="303"/>
    </row>
    <row r="81" spans="1:54" s="2" customFormat="1" ht="17.25" customHeight="1">
      <c r="A81" s="981"/>
      <c r="B81" s="205" t="s">
        <v>835</v>
      </c>
      <c r="C81" s="968" t="s">
        <v>836</v>
      </c>
      <c r="D81" s="943" t="s">
        <v>837</v>
      </c>
      <c r="E81" s="944"/>
      <c r="F81" s="944"/>
      <c r="G81" s="944"/>
      <c r="H81" s="944"/>
      <c r="I81" s="944"/>
      <c r="J81" s="944"/>
      <c r="K81" s="944"/>
      <c r="L81" s="944"/>
      <c r="M81" s="944"/>
      <c r="N81" s="945"/>
      <c r="O81" s="947">
        <v>4</v>
      </c>
      <c r="P81" s="948"/>
      <c r="Q81" s="948"/>
      <c r="R81" s="949"/>
      <c r="S81" s="940"/>
      <c r="T81" s="941"/>
      <c r="U81" s="941"/>
      <c r="V81" s="942"/>
      <c r="W81" s="940"/>
      <c r="X81" s="941"/>
      <c r="Y81" s="941"/>
      <c r="Z81" s="942"/>
      <c r="AA81" s="940"/>
      <c r="AB81" s="941"/>
      <c r="AC81" s="941"/>
      <c r="AD81" s="942"/>
      <c r="AE81" s="953"/>
      <c r="AF81" s="954"/>
      <c r="AG81" s="954"/>
      <c r="AH81" s="954"/>
      <c r="AI81" s="954"/>
      <c r="AJ81" s="955"/>
      <c r="AK81" s="947" t="s">
        <v>430</v>
      </c>
      <c r="AL81" s="948"/>
      <c r="AM81" s="948"/>
      <c r="AN81" s="949"/>
      <c r="AO81" s="956"/>
      <c r="AP81" s="957"/>
      <c r="AQ81" s="957"/>
      <c r="AR81" s="957"/>
      <c r="AS81" s="957"/>
      <c r="AT81" s="958"/>
      <c r="AU81" s="956"/>
      <c r="AV81" s="957"/>
      <c r="AW81" s="957"/>
      <c r="AX81" s="957"/>
      <c r="AY81" s="957"/>
      <c r="AZ81" s="958"/>
      <c r="BA81" s="303"/>
      <c r="BB81" s="303"/>
    </row>
    <row r="82" spans="1:54" s="2" customFormat="1" ht="17.25" customHeight="1">
      <c r="A82" s="981"/>
      <c r="B82" s="205" t="s">
        <v>838</v>
      </c>
      <c r="C82" s="946"/>
      <c r="D82" s="943" t="s">
        <v>839</v>
      </c>
      <c r="E82" s="944"/>
      <c r="F82" s="944"/>
      <c r="G82" s="944"/>
      <c r="H82" s="944"/>
      <c r="I82" s="944"/>
      <c r="J82" s="944"/>
      <c r="K82" s="944"/>
      <c r="L82" s="944"/>
      <c r="M82" s="944"/>
      <c r="N82" s="945"/>
      <c r="O82" s="947">
        <v>4</v>
      </c>
      <c r="P82" s="948"/>
      <c r="Q82" s="948"/>
      <c r="R82" s="949"/>
      <c r="S82" s="940">
        <f>W80</f>
        <v>45935</v>
      </c>
      <c r="T82" s="941"/>
      <c r="U82" s="941"/>
      <c r="V82" s="942"/>
      <c r="W82" s="940">
        <f>S82+1</f>
        <v>45936</v>
      </c>
      <c r="X82" s="941"/>
      <c r="Y82" s="941"/>
      <c r="Z82" s="942"/>
      <c r="AA82" s="940"/>
      <c r="AB82" s="941"/>
      <c r="AC82" s="941"/>
      <c r="AD82" s="942"/>
      <c r="AE82" s="940"/>
      <c r="AF82" s="941"/>
      <c r="AG82" s="941"/>
      <c r="AH82" s="941"/>
      <c r="AI82" s="941"/>
      <c r="AJ82" s="942"/>
      <c r="AK82" s="947" t="s">
        <v>430</v>
      </c>
      <c r="AL82" s="948"/>
      <c r="AM82" s="948"/>
      <c r="AN82" s="949"/>
      <c r="AO82" s="956"/>
      <c r="AP82" s="957"/>
      <c r="AQ82" s="957"/>
      <c r="AR82" s="957"/>
      <c r="AS82" s="957"/>
      <c r="AT82" s="958"/>
      <c r="AU82" s="956"/>
      <c r="AV82" s="957"/>
      <c r="AW82" s="957"/>
      <c r="AX82" s="957"/>
      <c r="AY82" s="957"/>
      <c r="AZ82" s="958"/>
      <c r="BA82" s="303"/>
      <c r="BB82" s="303"/>
    </row>
    <row r="83" spans="1:54" s="2" customFormat="1" ht="17.25" customHeight="1">
      <c r="A83" s="985"/>
      <c r="B83" s="205" t="s">
        <v>840</v>
      </c>
      <c r="C83" s="969"/>
      <c r="D83" s="943" t="s">
        <v>841</v>
      </c>
      <c r="E83" s="944"/>
      <c r="F83" s="944"/>
      <c r="G83" s="944"/>
      <c r="H83" s="944"/>
      <c r="I83" s="944"/>
      <c r="J83" s="944"/>
      <c r="K83" s="944"/>
      <c r="L83" s="944"/>
      <c r="M83" s="944"/>
      <c r="N83" s="945"/>
      <c r="O83" s="947">
        <v>4</v>
      </c>
      <c r="P83" s="948"/>
      <c r="Q83" s="948"/>
      <c r="R83" s="949"/>
      <c r="S83" s="940"/>
      <c r="T83" s="941"/>
      <c r="U83" s="941"/>
      <c r="V83" s="942"/>
      <c r="W83" s="940"/>
      <c r="X83" s="941"/>
      <c r="Y83" s="941"/>
      <c r="Z83" s="942"/>
      <c r="AA83" s="940"/>
      <c r="AB83" s="941"/>
      <c r="AC83" s="941"/>
      <c r="AD83" s="942"/>
      <c r="AE83" s="953"/>
      <c r="AF83" s="954"/>
      <c r="AG83" s="954"/>
      <c r="AH83" s="954"/>
      <c r="AI83" s="954"/>
      <c r="AJ83" s="955"/>
      <c r="AK83" s="947" t="s">
        <v>430</v>
      </c>
      <c r="AL83" s="948"/>
      <c r="AM83" s="948"/>
      <c r="AN83" s="949"/>
      <c r="AO83" s="956"/>
      <c r="AP83" s="957"/>
      <c r="AQ83" s="957"/>
      <c r="AR83" s="957"/>
      <c r="AS83" s="957"/>
      <c r="AT83" s="958"/>
      <c r="AU83" s="956"/>
      <c r="AV83" s="957"/>
      <c r="AW83" s="957"/>
      <c r="AX83" s="957"/>
      <c r="AY83" s="957"/>
      <c r="AZ83" s="958"/>
      <c r="BA83" s="303"/>
      <c r="BB83" s="303"/>
    </row>
    <row r="84" spans="1:54" s="2" customFormat="1" ht="17.25" customHeight="1">
      <c r="A84" s="313"/>
      <c r="B84" s="205" t="s">
        <v>842</v>
      </c>
      <c r="C84" s="970" t="s">
        <v>426</v>
      </c>
      <c r="D84" s="934" t="s">
        <v>301</v>
      </c>
      <c r="E84" s="935"/>
      <c r="F84" s="935"/>
      <c r="G84" s="935"/>
      <c r="H84" s="935"/>
      <c r="I84" s="935"/>
      <c r="J84" s="935"/>
      <c r="K84" s="935"/>
      <c r="L84" s="935"/>
      <c r="M84" s="935"/>
      <c r="N84" s="936"/>
      <c r="O84" s="937">
        <v>2</v>
      </c>
      <c r="P84" s="938"/>
      <c r="Q84" s="938"/>
      <c r="R84" s="939"/>
      <c r="S84" s="940">
        <f>W82</f>
        <v>45936</v>
      </c>
      <c r="T84" s="941"/>
      <c r="U84" s="941"/>
      <c r="V84" s="942"/>
      <c r="W84" s="940">
        <f>S84+1</f>
        <v>45937</v>
      </c>
      <c r="X84" s="941"/>
      <c r="Y84" s="941"/>
      <c r="Z84" s="942"/>
      <c r="AA84" s="293"/>
      <c r="AB84" s="293"/>
      <c r="AC84" s="293"/>
      <c r="AD84" s="293"/>
      <c r="AE84" s="312"/>
      <c r="AF84" s="312"/>
      <c r="AG84" s="312"/>
      <c r="AH84" s="312"/>
      <c r="AI84" s="312"/>
      <c r="AJ84" s="312"/>
      <c r="AK84" s="307"/>
      <c r="AL84" s="307"/>
      <c r="AM84" s="307"/>
      <c r="AN84" s="307"/>
      <c r="AO84" s="287"/>
      <c r="AP84" s="287"/>
      <c r="AQ84" s="287"/>
      <c r="AR84" s="287"/>
      <c r="AS84" s="287"/>
      <c r="AT84" s="287"/>
      <c r="AU84" s="287"/>
      <c r="AV84" s="287"/>
      <c r="AW84" s="287"/>
      <c r="AX84" s="287"/>
      <c r="AY84" s="287"/>
      <c r="AZ84" s="287"/>
    </row>
    <row r="85" spans="1:54" s="2" customFormat="1" ht="17.25" customHeight="1">
      <c r="A85" s="313"/>
      <c r="B85" s="205" t="s">
        <v>843</v>
      </c>
      <c r="C85" s="971"/>
      <c r="D85" s="934" t="s">
        <v>780</v>
      </c>
      <c r="E85" s="935"/>
      <c r="F85" s="935"/>
      <c r="G85" s="935"/>
      <c r="H85" s="935"/>
      <c r="I85" s="935"/>
      <c r="J85" s="935"/>
      <c r="K85" s="935"/>
      <c r="L85" s="935"/>
      <c r="M85" s="935"/>
      <c r="N85" s="936"/>
      <c r="O85" s="937">
        <v>6</v>
      </c>
      <c r="P85" s="938"/>
      <c r="Q85" s="938"/>
      <c r="R85" s="939"/>
      <c r="S85" s="940"/>
      <c r="T85" s="941"/>
      <c r="U85" s="941"/>
      <c r="V85" s="942"/>
      <c r="W85" s="940"/>
      <c r="X85" s="941"/>
      <c r="Y85" s="941"/>
      <c r="Z85" s="942"/>
      <c r="AA85" s="293"/>
      <c r="AB85" s="293"/>
      <c r="AC85" s="293"/>
      <c r="AD85" s="293"/>
      <c r="AE85" s="312"/>
      <c r="AF85" s="312"/>
      <c r="AG85" s="312"/>
      <c r="AH85" s="312"/>
      <c r="AI85" s="312"/>
      <c r="AJ85" s="312"/>
      <c r="AK85" s="307"/>
      <c r="AL85" s="307"/>
      <c r="AM85" s="307"/>
      <c r="AN85" s="307"/>
      <c r="AO85" s="287"/>
      <c r="AP85" s="287"/>
      <c r="AQ85" s="287"/>
      <c r="AR85" s="287"/>
      <c r="AS85" s="287"/>
      <c r="AT85" s="287"/>
      <c r="AU85" s="287"/>
      <c r="AV85" s="287"/>
      <c r="AW85" s="287"/>
      <c r="AX85" s="287"/>
      <c r="AY85" s="287"/>
      <c r="AZ85" s="287"/>
    </row>
    <row r="86" spans="1:54" s="2" customFormat="1" ht="18" customHeight="1">
      <c r="A86" s="983" t="s">
        <v>844</v>
      </c>
      <c r="B86" s="984"/>
      <c r="C86" s="984"/>
      <c r="D86" s="984"/>
      <c r="E86" s="984"/>
      <c r="F86" s="984"/>
      <c r="G86" s="984"/>
      <c r="H86" s="984"/>
      <c r="I86" s="984"/>
      <c r="J86" s="984"/>
      <c r="K86" s="984"/>
      <c r="L86" s="984"/>
      <c r="M86" s="984"/>
      <c r="N86" s="984"/>
      <c r="O86" s="984"/>
      <c r="P86" s="984"/>
      <c r="Q86" s="984"/>
      <c r="R86" s="984"/>
      <c r="S86" s="984"/>
      <c r="T86" s="984"/>
      <c r="U86" s="984"/>
      <c r="V86" s="984"/>
      <c r="W86" s="984"/>
      <c r="X86" s="984"/>
      <c r="Y86" s="984"/>
      <c r="Z86" s="984"/>
      <c r="AA86" s="984"/>
      <c r="AB86" s="984"/>
      <c r="AC86" s="984"/>
      <c r="AD86" s="984"/>
      <c r="AE86" s="984"/>
      <c r="AF86" s="984"/>
      <c r="AG86" s="984"/>
      <c r="AH86" s="984"/>
      <c r="AI86" s="984"/>
      <c r="AJ86" s="984"/>
      <c r="AK86" s="984"/>
      <c r="AL86" s="984"/>
      <c r="AM86" s="984"/>
      <c r="AN86" s="984"/>
      <c r="AO86" s="984"/>
      <c r="AP86" s="984"/>
      <c r="AQ86" s="984"/>
      <c r="AR86" s="984"/>
      <c r="AS86" s="984"/>
      <c r="AT86" s="984"/>
      <c r="AU86" s="984"/>
      <c r="AV86" s="984"/>
      <c r="AW86" s="984"/>
      <c r="AX86" s="984"/>
      <c r="AY86" s="984"/>
      <c r="AZ86" s="984"/>
    </row>
    <row r="87" spans="1:54" s="2" customFormat="1" ht="23.25" customHeight="1">
      <c r="A87" s="980">
        <v>4</v>
      </c>
      <c r="B87" s="205" t="s">
        <v>845</v>
      </c>
      <c r="C87" s="968" t="s">
        <v>665</v>
      </c>
      <c r="D87" s="943" t="s">
        <v>846</v>
      </c>
      <c r="E87" s="944"/>
      <c r="F87" s="944"/>
      <c r="G87" s="944"/>
      <c r="H87" s="944"/>
      <c r="I87" s="944"/>
      <c r="J87" s="944"/>
      <c r="K87" s="944"/>
      <c r="L87" s="944"/>
      <c r="M87" s="944"/>
      <c r="N87" s="945"/>
      <c r="O87" s="947">
        <v>2</v>
      </c>
      <c r="P87" s="948"/>
      <c r="Q87" s="948"/>
      <c r="R87" s="949"/>
      <c r="S87" s="931">
        <f>W82</f>
        <v>45936</v>
      </c>
      <c r="T87" s="932"/>
      <c r="U87" s="932"/>
      <c r="V87" s="933"/>
      <c r="W87" s="931">
        <f>S87+1</f>
        <v>45937</v>
      </c>
      <c r="X87" s="932"/>
      <c r="Y87" s="932"/>
      <c r="Z87" s="933"/>
      <c r="AA87" s="931"/>
      <c r="AB87" s="932"/>
      <c r="AC87" s="932"/>
      <c r="AD87" s="933"/>
      <c r="AE87" s="931"/>
      <c r="AF87" s="932"/>
      <c r="AG87" s="932"/>
      <c r="AH87" s="932"/>
      <c r="AI87" s="932"/>
      <c r="AJ87" s="933"/>
      <c r="AK87" s="947" t="s">
        <v>430</v>
      </c>
      <c r="AL87" s="948"/>
      <c r="AM87" s="948"/>
      <c r="AN87" s="949"/>
      <c r="AO87" s="956"/>
      <c r="AP87" s="957"/>
      <c r="AQ87" s="957"/>
      <c r="AR87" s="957"/>
      <c r="AS87" s="957"/>
      <c r="AT87" s="958"/>
      <c r="AU87" s="956"/>
      <c r="AV87" s="957"/>
      <c r="AW87" s="957"/>
      <c r="AX87" s="957"/>
      <c r="AY87" s="957"/>
      <c r="AZ87" s="958"/>
      <c r="BA87" s="303"/>
      <c r="BB87" s="303"/>
    </row>
    <row r="88" spans="1:54" s="2" customFormat="1" ht="21" customHeight="1">
      <c r="A88" s="981"/>
      <c r="B88" s="205" t="s">
        <v>847</v>
      </c>
      <c r="C88" s="946"/>
      <c r="D88" s="943" t="s">
        <v>848</v>
      </c>
      <c r="E88" s="944"/>
      <c r="F88" s="944"/>
      <c r="G88" s="944"/>
      <c r="H88" s="944"/>
      <c r="I88" s="944"/>
      <c r="J88" s="944"/>
      <c r="K88" s="944"/>
      <c r="L88" s="944"/>
      <c r="M88" s="944"/>
      <c r="N88" s="945"/>
      <c r="O88" s="947">
        <v>2</v>
      </c>
      <c r="P88" s="948"/>
      <c r="Q88" s="948"/>
      <c r="R88" s="949"/>
      <c r="S88" s="940"/>
      <c r="T88" s="941"/>
      <c r="U88" s="941"/>
      <c r="V88" s="942"/>
      <c r="W88" s="940"/>
      <c r="X88" s="941"/>
      <c r="Y88" s="941"/>
      <c r="Z88" s="942"/>
      <c r="AA88" s="940"/>
      <c r="AB88" s="941"/>
      <c r="AC88" s="941"/>
      <c r="AD88" s="942"/>
      <c r="AE88" s="940"/>
      <c r="AF88" s="941"/>
      <c r="AG88" s="941"/>
      <c r="AH88" s="941"/>
      <c r="AI88" s="941"/>
      <c r="AJ88" s="942"/>
      <c r="AK88" s="947" t="s">
        <v>430</v>
      </c>
      <c r="AL88" s="948"/>
      <c r="AM88" s="948"/>
      <c r="AN88" s="949"/>
      <c r="AO88" s="956"/>
      <c r="AP88" s="957"/>
      <c r="AQ88" s="957"/>
      <c r="AR88" s="957"/>
      <c r="AS88" s="957"/>
      <c r="AT88" s="958"/>
      <c r="AU88" s="956"/>
      <c r="AV88" s="957"/>
      <c r="AW88" s="957"/>
      <c r="AX88" s="957"/>
      <c r="AY88" s="957"/>
      <c r="AZ88" s="958"/>
      <c r="BA88" s="303"/>
      <c r="BB88" s="303"/>
    </row>
    <row r="89" spans="1:54" s="2" customFormat="1" ht="18" customHeight="1">
      <c r="A89" s="981"/>
      <c r="B89" s="205" t="s">
        <v>849</v>
      </c>
      <c r="C89" s="969"/>
      <c r="D89" s="943" t="s">
        <v>850</v>
      </c>
      <c r="E89" s="944"/>
      <c r="F89" s="944"/>
      <c r="G89" s="944"/>
      <c r="H89" s="944"/>
      <c r="I89" s="944"/>
      <c r="J89" s="944"/>
      <c r="K89" s="944"/>
      <c r="L89" s="944"/>
      <c r="M89" s="944"/>
      <c r="N89" s="945"/>
      <c r="O89" s="947">
        <v>2</v>
      </c>
      <c r="P89" s="948"/>
      <c r="Q89" s="948"/>
      <c r="R89" s="949"/>
      <c r="S89" s="940"/>
      <c r="T89" s="941"/>
      <c r="U89" s="941"/>
      <c r="V89" s="942"/>
      <c r="W89" s="940"/>
      <c r="X89" s="941"/>
      <c r="Y89" s="941"/>
      <c r="Z89" s="942"/>
      <c r="AA89" s="940"/>
      <c r="AB89" s="941"/>
      <c r="AC89" s="941"/>
      <c r="AD89" s="942"/>
      <c r="AE89" s="940"/>
      <c r="AF89" s="941"/>
      <c r="AG89" s="941"/>
      <c r="AH89" s="941"/>
      <c r="AI89" s="941"/>
      <c r="AJ89" s="942"/>
      <c r="AK89" s="947" t="s">
        <v>430</v>
      </c>
      <c r="AL89" s="948"/>
      <c r="AM89" s="948"/>
      <c r="AN89" s="949"/>
      <c r="AO89" s="956"/>
      <c r="AP89" s="957"/>
      <c r="AQ89" s="957"/>
      <c r="AR89" s="957"/>
      <c r="AS89" s="957"/>
      <c r="AT89" s="958"/>
      <c r="AU89" s="956"/>
      <c r="AV89" s="957"/>
      <c r="AW89" s="957"/>
      <c r="AX89" s="957"/>
      <c r="AY89" s="957"/>
      <c r="AZ89" s="958"/>
      <c r="BA89" s="303"/>
      <c r="BB89" s="303"/>
    </row>
    <row r="90" spans="1:54" s="2" customFormat="1">
      <c r="A90" s="981"/>
      <c r="B90" s="205" t="s">
        <v>851</v>
      </c>
      <c r="C90" s="968" t="s">
        <v>666</v>
      </c>
      <c r="D90" s="943" t="s">
        <v>852</v>
      </c>
      <c r="E90" s="944"/>
      <c r="F90" s="944"/>
      <c r="G90" s="944"/>
      <c r="H90" s="944"/>
      <c r="I90" s="944"/>
      <c r="J90" s="944"/>
      <c r="K90" s="944"/>
      <c r="L90" s="944"/>
      <c r="M90" s="944"/>
      <c r="N90" s="945"/>
      <c r="O90" s="947">
        <v>2</v>
      </c>
      <c r="P90" s="948"/>
      <c r="Q90" s="948"/>
      <c r="R90" s="949"/>
      <c r="S90" s="953"/>
      <c r="T90" s="954"/>
      <c r="U90" s="954"/>
      <c r="V90" s="955"/>
      <c r="W90" s="953"/>
      <c r="X90" s="954"/>
      <c r="Y90" s="954"/>
      <c r="Z90" s="955"/>
      <c r="AA90" s="953"/>
      <c r="AB90" s="954"/>
      <c r="AC90" s="954"/>
      <c r="AD90" s="955"/>
      <c r="AE90" s="953"/>
      <c r="AF90" s="954"/>
      <c r="AG90" s="954"/>
      <c r="AH90" s="954"/>
      <c r="AI90" s="954"/>
      <c r="AJ90" s="955"/>
      <c r="AK90" s="947" t="s">
        <v>430</v>
      </c>
      <c r="AL90" s="948"/>
      <c r="AM90" s="948"/>
      <c r="AN90" s="949"/>
      <c r="AO90" s="956"/>
      <c r="AP90" s="957"/>
      <c r="AQ90" s="957"/>
      <c r="AR90" s="957"/>
      <c r="AS90" s="957"/>
      <c r="AT90" s="958"/>
      <c r="AU90" s="956"/>
      <c r="AV90" s="957"/>
      <c r="AW90" s="957"/>
      <c r="AX90" s="957"/>
      <c r="AY90" s="957"/>
      <c r="AZ90" s="958"/>
      <c r="BA90" s="303"/>
      <c r="BB90" s="303"/>
    </row>
    <row r="91" spans="1:54" s="2" customFormat="1">
      <c r="A91" s="981"/>
      <c r="B91" s="205" t="s">
        <v>853</v>
      </c>
      <c r="C91" s="946"/>
      <c r="D91" s="943" t="s">
        <v>854</v>
      </c>
      <c r="E91" s="944"/>
      <c r="F91" s="944"/>
      <c r="G91" s="944"/>
      <c r="H91" s="944"/>
      <c r="I91" s="944"/>
      <c r="J91" s="944"/>
      <c r="K91" s="944"/>
      <c r="L91" s="944"/>
      <c r="M91" s="944"/>
      <c r="N91" s="945"/>
      <c r="O91" s="947">
        <v>2</v>
      </c>
      <c r="P91" s="948"/>
      <c r="Q91" s="948"/>
      <c r="R91" s="949"/>
      <c r="S91" s="931">
        <f>W87</f>
        <v>45937</v>
      </c>
      <c r="T91" s="932"/>
      <c r="U91" s="932"/>
      <c r="V91" s="933"/>
      <c r="W91" s="931">
        <f>S91+1</f>
        <v>45938</v>
      </c>
      <c r="X91" s="932"/>
      <c r="Y91" s="932"/>
      <c r="Z91" s="933"/>
      <c r="AA91" s="931"/>
      <c r="AB91" s="932"/>
      <c r="AC91" s="932"/>
      <c r="AD91" s="933"/>
      <c r="AE91" s="931"/>
      <c r="AF91" s="932"/>
      <c r="AG91" s="932"/>
      <c r="AH91" s="932"/>
      <c r="AI91" s="932"/>
      <c r="AJ91" s="933"/>
      <c r="AK91" s="947" t="s">
        <v>430</v>
      </c>
      <c r="AL91" s="948"/>
      <c r="AM91" s="948"/>
      <c r="AN91" s="949"/>
      <c r="AO91" s="956"/>
      <c r="AP91" s="957"/>
      <c r="AQ91" s="957"/>
      <c r="AR91" s="957"/>
      <c r="AS91" s="957"/>
      <c r="AT91" s="958"/>
      <c r="AU91" s="956"/>
      <c r="AV91" s="957"/>
      <c r="AW91" s="957"/>
      <c r="AX91" s="957"/>
      <c r="AY91" s="957"/>
      <c r="AZ91" s="958"/>
      <c r="BA91" s="303"/>
      <c r="BB91" s="303"/>
    </row>
    <row r="92" spans="1:54" s="2" customFormat="1">
      <c r="A92" s="981"/>
      <c r="B92" s="205" t="s">
        <v>855</v>
      </c>
      <c r="C92" s="969"/>
      <c r="D92" s="943" t="s">
        <v>856</v>
      </c>
      <c r="E92" s="944"/>
      <c r="F92" s="944"/>
      <c r="G92" s="944"/>
      <c r="H92" s="944"/>
      <c r="I92" s="944"/>
      <c r="J92" s="944"/>
      <c r="K92" s="944"/>
      <c r="L92" s="944"/>
      <c r="M92" s="944"/>
      <c r="N92" s="945"/>
      <c r="O92" s="947">
        <v>2</v>
      </c>
      <c r="P92" s="948"/>
      <c r="Q92" s="948"/>
      <c r="R92" s="949"/>
      <c r="S92" s="940"/>
      <c r="T92" s="941"/>
      <c r="U92" s="941"/>
      <c r="V92" s="942"/>
      <c r="W92" s="940"/>
      <c r="X92" s="941"/>
      <c r="Y92" s="941"/>
      <c r="Z92" s="942"/>
      <c r="AA92" s="940"/>
      <c r="AB92" s="941"/>
      <c r="AC92" s="941"/>
      <c r="AD92" s="942"/>
      <c r="AE92" s="940"/>
      <c r="AF92" s="941"/>
      <c r="AG92" s="941"/>
      <c r="AH92" s="941"/>
      <c r="AI92" s="941"/>
      <c r="AJ92" s="942"/>
      <c r="AK92" s="947" t="s">
        <v>430</v>
      </c>
      <c r="AL92" s="948"/>
      <c r="AM92" s="948"/>
      <c r="AN92" s="949"/>
      <c r="AO92" s="956"/>
      <c r="AP92" s="957"/>
      <c r="AQ92" s="957"/>
      <c r="AR92" s="957"/>
      <c r="AS92" s="957"/>
      <c r="AT92" s="958"/>
      <c r="AU92" s="956"/>
      <c r="AV92" s="957"/>
      <c r="AW92" s="957"/>
      <c r="AX92" s="957"/>
      <c r="AY92" s="957"/>
      <c r="AZ92" s="958"/>
      <c r="BA92" s="303"/>
      <c r="BB92" s="303"/>
    </row>
    <row r="93" spans="1:54" s="2" customFormat="1">
      <c r="A93" s="981"/>
      <c r="B93" s="205" t="s">
        <v>857</v>
      </c>
      <c r="C93" s="968" t="s">
        <v>667</v>
      </c>
      <c r="D93" s="943" t="s">
        <v>858</v>
      </c>
      <c r="E93" s="944"/>
      <c r="F93" s="944"/>
      <c r="G93" s="944"/>
      <c r="H93" s="944"/>
      <c r="I93" s="944"/>
      <c r="J93" s="944"/>
      <c r="K93" s="944"/>
      <c r="L93" s="944"/>
      <c r="M93" s="944"/>
      <c r="N93" s="945"/>
      <c r="O93" s="947">
        <v>4</v>
      </c>
      <c r="P93" s="948"/>
      <c r="Q93" s="948"/>
      <c r="R93" s="949"/>
      <c r="S93" s="940"/>
      <c r="T93" s="941"/>
      <c r="U93" s="941"/>
      <c r="V93" s="942"/>
      <c r="W93" s="940"/>
      <c r="X93" s="941"/>
      <c r="Y93" s="941"/>
      <c r="Z93" s="942"/>
      <c r="AA93" s="940"/>
      <c r="AB93" s="941"/>
      <c r="AC93" s="941"/>
      <c r="AD93" s="942"/>
      <c r="AE93" s="940"/>
      <c r="AF93" s="941"/>
      <c r="AG93" s="941"/>
      <c r="AH93" s="941"/>
      <c r="AI93" s="941"/>
      <c r="AJ93" s="942"/>
      <c r="AK93" s="947" t="s">
        <v>430</v>
      </c>
      <c r="AL93" s="948"/>
      <c r="AM93" s="948"/>
      <c r="AN93" s="949"/>
      <c r="AO93" s="956"/>
      <c r="AP93" s="957"/>
      <c r="AQ93" s="957"/>
      <c r="AR93" s="957"/>
      <c r="AS93" s="957"/>
      <c r="AT93" s="958"/>
      <c r="AU93" s="956"/>
      <c r="AV93" s="957"/>
      <c r="AW93" s="957"/>
      <c r="AX93" s="957"/>
      <c r="AY93" s="957"/>
      <c r="AZ93" s="958"/>
      <c r="BA93" s="303"/>
      <c r="BB93" s="303"/>
    </row>
    <row r="94" spans="1:54" s="2" customFormat="1" ht="21" customHeight="1">
      <c r="A94" s="981"/>
      <c r="B94" s="205" t="s">
        <v>859</v>
      </c>
      <c r="C94" s="946"/>
      <c r="D94" s="986" t="s">
        <v>860</v>
      </c>
      <c r="E94" s="987"/>
      <c r="F94" s="987"/>
      <c r="G94" s="987"/>
      <c r="H94" s="987"/>
      <c r="I94" s="987"/>
      <c r="J94" s="987"/>
      <c r="K94" s="987"/>
      <c r="L94" s="987"/>
      <c r="M94" s="987"/>
      <c r="N94" s="988"/>
      <c r="O94" s="947">
        <v>2</v>
      </c>
      <c r="P94" s="948"/>
      <c r="Q94" s="948"/>
      <c r="R94" s="949"/>
      <c r="S94" s="940">
        <f>W91</f>
        <v>45938</v>
      </c>
      <c r="T94" s="941"/>
      <c r="U94" s="941"/>
      <c r="V94" s="942"/>
      <c r="W94" s="940">
        <f>S94+1</f>
        <v>45939</v>
      </c>
      <c r="X94" s="941"/>
      <c r="Y94" s="941"/>
      <c r="Z94" s="942"/>
      <c r="AA94" s="940"/>
      <c r="AB94" s="941"/>
      <c r="AC94" s="941"/>
      <c r="AD94" s="942"/>
      <c r="AE94" s="940"/>
      <c r="AF94" s="941"/>
      <c r="AG94" s="941"/>
      <c r="AH94" s="941"/>
      <c r="AI94" s="941"/>
      <c r="AJ94" s="942"/>
      <c r="AK94" s="947" t="s">
        <v>430</v>
      </c>
      <c r="AL94" s="948"/>
      <c r="AM94" s="948"/>
      <c r="AN94" s="949"/>
      <c r="AO94" s="956"/>
      <c r="AP94" s="957"/>
      <c r="AQ94" s="957"/>
      <c r="AR94" s="957"/>
      <c r="AS94" s="957"/>
      <c r="AT94" s="958"/>
      <c r="AU94" s="956"/>
      <c r="AV94" s="957"/>
      <c r="AW94" s="957"/>
      <c r="AX94" s="957"/>
      <c r="AY94" s="957"/>
      <c r="AZ94" s="958"/>
      <c r="BA94" s="303"/>
      <c r="BB94" s="303"/>
    </row>
    <row r="95" spans="1:54" s="2" customFormat="1">
      <c r="A95" s="981"/>
      <c r="B95" s="205" t="s">
        <v>861</v>
      </c>
      <c r="C95" s="969"/>
      <c r="D95" s="943" t="s">
        <v>862</v>
      </c>
      <c r="E95" s="944"/>
      <c r="F95" s="944"/>
      <c r="G95" s="944"/>
      <c r="H95" s="944"/>
      <c r="I95" s="944"/>
      <c r="J95" s="944"/>
      <c r="K95" s="944"/>
      <c r="L95" s="944"/>
      <c r="M95" s="944"/>
      <c r="N95" s="945"/>
      <c r="O95" s="947">
        <v>2</v>
      </c>
      <c r="P95" s="948"/>
      <c r="Q95" s="948"/>
      <c r="R95" s="949"/>
      <c r="S95" s="940"/>
      <c r="T95" s="941"/>
      <c r="U95" s="941"/>
      <c r="V95" s="942"/>
      <c r="W95" s="940"/>
      <c r="X95" s="941"/>
      <c r="Y95" s="941"/>
      <c r="Z95" s="942"/>
      <c r="AA95" s="940"/>
      <c r="AB95" s="941"/>
      <c r="AC95" s="941"/>
      <c r="AD95" s="942"/>
      <c r="AE95" s="940"/>
      <c r="AF95" s="941"/>
      <c r="AG95" s="941"/>
      <c r="AH95" s="941"/>
      <c r="AI95" s="941"/>
      <c r="AJ95" s="942"/>
      <c r="AK95" s="947" t="s">
        <v>430</v>
      </c>
      <c r="AL95" s="948"/>
      <c r="AM95" s="948"/>
      <c r="AN95" s="949"/>
      <c r="AO95" s="956"/>
      <c r="AP95" s="957"/>
      <c r="AQ95" s="957"/>
      <c r="AR95" s="957"/>
      <c r="AS95" s="957"/>
      <c r="AT95" s="958"/>
      <c r="AU95" s="956"/>
      <c r="AV95" s="957"/>
      <c r="AW95" s="957"/>
      <c r="AX95" s="957"/>
      <c r="AY95" s="957"/>
      <c r="AZ95" s="958"/>
      <c r="BA95" s="303"/>
      <c r="BB95" s="303"/>
    </row>
    <row r="96" spans="1:54" s="2" customFormat="1">
      <c r="A96" s="981"/>
      <c r="B96" s="205" t="s">
        <v>863</v>
      </c>
      <c r="C96" s="968" t="s">
        <v>669</v>
      </c>
      <c r="D96" s="943" t="s">
        <v>864</v>
      </c>
      <c r="E96" s="944"/>
      <c r="F96" s="944"/>
      <c r="G96" s="944"/>
      <c r="H96" s="944"/>
      <c r="I96" s="944"/>
      <c r="J96" s="944"/>
      <c r="K96" s="944"/>
      <c r="L96" s="944"/>
      <c r="M96" s="944"/>
      <c r="N96" s="945"/>
      <c r="O96" s="947">
        <v>2</v>
      </c>
      <c r="P96" s="948"/>
      <c r="Q96" s="948"/>
      <c r="R96" s="949"/>
      <c r="S96" s="940"/>
      <c r="T96" s="941"/>
      <c r="U96" s="941"/>
      <c r="V96" s="942"/>
      <c r="W96" s="940"/>
      <c r="X96" s="941"/>
      <c r="Y96" s="941"/>
      <c r="Z96" s="942"/>
      <c r="AA96" s="940"/>
      <c r="AB96" s="941"/>
      <c r="AC96" s="941"/>
      <c r="AD96" s="942"/>
      <c r="AE96" s="940"/>
      <c r="AF96" s="941"/>
      <c r="AG96" s="941"/>
      <c r="AH96" s="941"/>
      <c r="AI96" s="941"/>
      <c r="AJ96" s="942"/>
      <c r="AK96" s="947" t="s">
        <v>430</v>
      </c>
      <c r="AL96" s="948"/>
      <c r="AM96" s="948"/>
      <c r="AN96" s="949"/>
      <c r="AO96" s="956"/>
      <c r="AP96" s="957"/>
      <c r="AQ96" s="957"/>
      <c r="AR96" s="957"/>
      <c r="AS96" s="957"/>
      <c r="AT96" s="958"/>
      <c r="AU96" s="956"/>
      <c r="AV96" s="957"/>
      <c r="AW96" s="957"/>
      <c r="AX96" s="957"/>
      <c r="AY96" s="957"/>
      <c r="AZ96" s="958"/>
      <c r="BA96" s="303"/>
      <c r="BB96" s="303"/>
    </row>
    <row r="97" spans="1:54" s="2" customFormat="1">
      <c r="A97" s="981"/>
      <c r="B97" s="205" t="s">
        <v>838</v>
      </c>
      <c r="C97" s="946"/>
      <c r="D97" s="943" t="s">
        <v>865</v>
      </c>
      <c r="E97" s="944"/>
      <c r="F97" s="944"/>
      <c r="G97" s="944"/>
      <c r="H97" s="944"/>
      <c r="I97" s="944"/>
      <c r="J97" s="944"/>
      <c r="K97" s="944"/>
      <c r="L97" s="944"/>
      <c r="M97" s="944"/>
      <c r="N97" s="945"/>
      <c r="O97" s="947">
        <v>2</v>
      </c>
      <c r="P97" s="948"/>
      <c r="Q97" s="948"/>
      <c r="R97" s="949"/>
      <c r="S97" s="953"/>
      <c r="T97" s="954"/>
      <c r="U97" s="954"/>
      <c r="V97" s="955"/>
      <c r="W97" s="953"/>
      <c r="X97" s="954"/>
      <c r="Y97" s="954"/>
      <c r="Z97" s="955"/>
      <c r="AA97" s="953"/>
      <c r="AB97" s="954"/>
      <c r="AC97" s="954"/>
      <c r="AD97" s="955"/>
      <c r="AE97" s="953"/>
      <c r="AF97" s="954"/>
      <c r="AG97" s="954"/>
      <c r="AH97" s="954"/>
      <c r="AI97" s="954"/>
      <c r="AJ97" s="955"/>
      <c r="AK97" s="947" t="s">
        <v>430</v>
      </c>
      <c r="AL97" s="948"/>
      <c r="AM97" s="948"/>
      <c r="AN97" s="949"/>
      <c r="AO97" s="956"/>
      <c r="AP97" s="957"/>
      <c r="AQ97" s="957"/>
      <c r="AR97" s="957"/>
      <c r="AS97" s="957"/>
      <c r="AT97" s="958"/>
      <c r="AU97" s="956"/>
      <c r="AV97" s="957"/>
      <c r="AW97" s="957"/>
      <c r="AX97" s="957"/>
      <c r="AY97" s="957"/>
      <c r="AZ97" s="958"/>
      <c r="BA97" s="303"/>
      <c r="BB97" s="303"/>
    </row>
    <row r="98" spans="1:54" s="2" customFormat="1">
      <c r="A98" s="981"/>
      <c r="B98" s="205" t="s">
        <v>840</v>
      </c>
      <c r="C98" s="946"/>
      <c r="D98" s="943" t="s">
        <v>866</v>
      </c>
      <c r="E98" s="944"/>
      <c r="F98" s="944"/>
      <c r="G98" s="944"/>
      <c r="H98" s="944"/>
      <c r="I98" s="944"/>
      <c r="J98" s="944"/>
      <c r="K98" s="944"/>
      <c r="L98" s="944"/>
      <c r="M98" s="944"/>
      <c r="N98" s="945"/>
      <c r="O98" s="947">
        <v>2</v>
      </c>
      <c r="P98" s="948"/>
      <c r="Q98" s="948"/>
      <c r="R98" s="949"/>
      <c r="S98" s="931">
        <f>W94+2</f>
        <v>45941</v>
      </c>
      <c r="T98" s="932"/>
      <c r="U98" s="932"/>
      <c r="V98" s="933"/>
      <c r="W98" s="931">
        <f>S98+1</f>
        <v>45942</v>
      </c>
      <c r="X98" s="932"/>
      <c r="Y98" s="932"/>
      <c r="Z98" s="933"/>
      <c r="AA98" s="931"/>
      <c r="AB98" s="932"/>
      <c r="AC98" s="932"/>
      <c r="AD98" s="933"/>
      <c r="AE98" s="931"/>
      <c r="AF98" s="932"/>
      <c r="AG98" s="932"/>
      <c r="AH98" s="932"/>
      <c r="AI98" s="932"/>
      <c r="AJ98" s="933"/>
      <c r="AK98" s="947" t="s">
        <v>430</v>
      </c>
      <c r="AL98" s="948"/>
      <c r="AM98" s="948"/>
      <c r="AN98" s="949"/>
      <c r="AO98" s="956"/>
      <c r="AP98" s="957"/>
      <c r="AQ98" s="957"/>
      <c r="AR98" s="957"/>
      <c r="AS98" s="957"/>
      <c r="AT98" s="958"/>
      <c r="AU98" s="956"/>
      <c r="AV98" s="957"/>
      <c r="AW98" s="957"/>
      <c r="AX98" s="957"/>
      <c r="AY98" s="957"/>
      <c r="AZ98" s="958"/>
      <c r="BA98" s="303"/>
      <c r="BB98" s="303"/>
    </row>
    <row r="99" spans="1:54" s="2" customFormat="1">
      <c r="A99" s="981"/>
      <c r="B99" s="205" t="s">
        <v>842</v>
      </c>
      <c r="C99" s="946"/>
      <c r="D99" s="943" t="s">
        <v>867</v>
      </c>
      <c r="E99" s="944"/>
      <c r="F99" s="944"/>
      <c r="G99" s="944"/>
      <c r="H99" s="944"/>
      <c r="I99" s="944"/>
      <c r="J99" s="944"/>
      <c r="K99" s="944"/>
      <c r="L99" s="944"/>
      <c r="M99" s="944"/>
      <c r="N99" s="945"/>
      <c r="O99" s="947">
        <v>2</v>
      </c>
      <c r="P99" s="948"/>
      <c r="Q99" s="948"/>
      <c r="R99" s="949"/>
      <c r="S99" s="940"/>
      <c r="T99" s="941"/>
      <c r="U99" s="941"/>
      <c r="V99" s="942"/>
      <c r="W99" s="940"/>
      <c r="X99" s="941"/>
      <c r="Y99" s="941"/>
      <c r="Z99" s="942"/>
      <c r="AA99" s="940"/>
      <c r="AB99" s="941"/>
      <c r="AC99" s="941"/>
      <c r="AD99" s="942"/>
      <c r="AE99" s="940"/>
      <c r="AF99" s="941"/>
      <c r="AG99" s="941"/>
      <c r="AH99" s="941"/>
      <c r="AI99" s="941"/>
      <c r="AJ99" s="942"/>
      <c r="AK99" s="947" t="s">
        <v>430</v>
      </c>
      <c r="AL99" s="948"/>
      <c r="AM99" s="948"/>
      <c r="AN99" s="949"/>
      <c r="AO99" s="956"/>
      <c r="AP99" s="957"/>
      <c r="AQ99" s="957"/>
      <c r="AR99" s="957"/>
      <c r="AS99" s="957"/>
      <c r="AT99" s="958"/>
      <c r="AU99" s="956"/>
      <c r="AV99" s="957"/>
      <c r="AW99" s="957"/>
      <c r="AX99" s="957"/>
      <c r="AY99" s="957"/>
      <c r="AZ99" s="958"/>
      <c r="BA99" s="303"/>
      <c r="BB99" s="303"/>
    </row>
    <row r="100" spans="1:54" s="2" customFormat="1">
      <c r="A100" s="981"/>
      <c r="B100" s="205" t="s">
        <v>843</v>
      </c>
      <c r="C100" s="969"/>
      <c r="D100" s="943" t="s">
        <v>868</v>
      </c>
      <c r="E100" s="944"/>
      <c r="F100" s="944"/>
      <c r="G100" s="944"/>
      <c r="H100" s="944"/>
      <c r="I100" s="944"/>
      <c r="J100" s="944"/>
      <c r="K100" s="944"/>
      <c r="L100" s="944"/>
      <c r="M100" s="944"/>
      <c r="N100" s="945"/>
      <c r="O100" s="947">
        <v>2</v>
      </c>
      <c r="P100" s="948"/>
      <c r="Q100" s="948"/>
      <c r="R100" s="949"/>
      <c r="S100" s="940"/>
      <c r="T100" s="941"/>
      <c r="U100" s="941"/>
      <c r="V100" s="942"/>
      <c r="W100" s="940"/>
      <c r="X100" s="941"/>
      <c r="Y100" s="941"/>
      <c r="Z100" s="942"/>
      <c r="AA100" s="940"/>
      <c r="AB100" s="941"/>
      <c r="AC100" s="941"/>
      <c r="AD100" s="942"/>
      <c r="AE100" s="940"/>
      <c r="AF100" s="941"/>
      <c r="AG100" s="941"/>
      <c r="AH100" s="941"/>
      <c r="AI100" s="941"/>
      <c r="AJ100" s="942"/>
      <c r="AK100" s="947" t="s">
        <v>430</v>
      </c>
      <c r="AL100" s="948"/>
      <c r="AM100" s="948"/>
      <c r="AN100" s="949"/>
      <c r="AO100" s="956"/>
      <c r="AP100" s="957"/>
      <c r="AQ100" s="957"/>
      <c r="AR100" s="957"/>
      <c r="AS100" s="957"/>
      <c r="AT100" s="958"/>
      <c r="AU100" s="956"/>
      <c r="AV100" s="957"/>
      <c r="AW100" s="957"/>
      <c r="AX100" s="957"/>
      <c r="AY100" s="957"/>
      <c r="AZ100" s="958"/>
      <c r="BA100" s="303"/>
      <c r="BB100" s="303"/>
    </row>
    <row r="101" spans="1:54" s="2" customFormat="1">
      <c r="A101" s="981"/>
      <c r="B101" s="205" t="s">
        <v>869</v>
      </c>
      <c r="C101" s="968" t="s">
        <v>870</v>
      </c>
      <c r="D101" s="950" t="s">
        <v>871</v>
      </c>
      <c r="E101" s="951"/>
      <c r="F101" s="951"/>
      <c r="G101" s="951"/>
      <c r="H101" s="951"/>
      <c r="I101" s="951"/>
      <c r="J101" s="951"/>
      <c r="K101" s="951"/>
      <c r="L101" s="951"/>
      <c r="M101" s="951"/>
      <c r="N101" s="952"/>
      <c r="O101" s="947">
        <v>2</v>
      </c>
      <c r="P101" s="948"/>
      <c r="Q101" s="948"/>
      <c r="R101" s="949"/>
      <c r="S101" s="940"/>
      <c r="T101" s="941"/>
      <c r="U101" s="941"/>
      <c r="V101" s="942"/>
      <c r="W101" s="940"/>
      <c r="X101" s="941"/>
      <c r="Y101" s="941"/>
      <c r="Z101" s="942"/>
      <c r="AA101" s="940"/>
      <c r="AB101" s="941"/>
      <c r="AC101" s="941"/>
      <c r="AD101" s="942"/>
      <c r="AE101" s="940"/>
      <c r="AF101" s="941"/>
      <c r="AG101" s="941"/>
      <c r="AH101" s="941"/>
      <c r="AI101" s="941"/>
      <c r="AJ101" s="942"/>
      <c r="AK101" s="947" t="s">
        <v>430</v>
      </c>
      <c r="AL101" s="948"/>
      <c r="AM101" s="948"/>
      <c r="AN101" s="949"/>
      <c r="AO101" s="956"/>
      <c r="AP101" s="957"/>
      <c r="AQ101" s="957"/>
      <c r="AR101" s="957"/>
      <c r="AS101" s="957"/>
      <c r="AT101" s="958"/>
      <c r="AU101" s="956"/>
      <c r="AV101" s="957"/>
      <c r="AW101" s="957"/>
      <c r="AX101" s="957"/>
      <c r="AY101" s="957"/>
      <c r="AZ101" s="958"/>
      <c r="BA101" s="303"/>
      <c r="BB101" s="303"/>
    </row>
    <row r="102" spans="1:54" s="2" customFormat="1">
      <c r="A102" s="981"/>
      <c r="B102" s="205" t="s">
        <v>872</v>
      </c>
      <c r="C102" s="946"/>
      <c r="D102" s="943" t="s">
        <v>839</v>
      </c>
      <c r="E102" s="944"/>
      <c r="F102" s="944"/>
      <c r="G102" s="944"/>
      <c r="H102" s="944"/>
      <c r="I102" s="944"/>
      <c r="J102" s="944"/>
      <c r="K102" s="944"/>
      <c r="L102" s="944"/>
      <c r="M102" s="944"/>
      <c r="N102" s="945"/>
      <c r="O102" s="947">
        <v>2</v>
      </c>
      <c r="P102" s="948"/>
      <c r="Q102" s="948"/>
      <c r="R102" s="949"/>
      <c r="S102" s="940">
        <f>W98</f>
        <v>45942</v>
      </c>
      <c r="T102" s="941"/>
      <c r="U102" s="941"/>
      <c r="V102" s="942"/>
      <c r="W102" s="940">
        <f>S102+1</f>
        <v>45943</v>
      </c>
      <c r="X102" s="941"/>
      <c r="Y102" s="941"/>
      <c r="Z102" s="942"/>
      <c r="AA102" s="940"/>
      <c r="AB102" s="941"/>
      <c r="AC102" s="941"/>
      <c r="AD102" s="942"/>
      <c r="AE102" s="940"/>
      <c r="AF102" s="941"/>
      <c r="AG102" s="941"/>
      <c r="AH102" s="941"/>
      <c r="AI102" s="941"/>
      <c r="AJ102" s="942"/>
      <c r="AK102" s="947" t="s">
        <v>430</v>
      </c>
      <c r="AL102" s="948"/>
      <c r="AM102" s="948"/>
      <c r="AN102" s="949"/>
      <c r="AO102" s="956"/>
      <c r="AP102" s="957"/>
      <c r="AQ102" s="957"/>
      <c r="AR102" s="957"/>
      <c r="AS102" s="957"/>
      <c r="AT102" s="958"/>
      <c r="AU102" s="956"/>
      <c r="AV102" s="957"/>
      <c r="AW102" s="957"/>
      <c r="AX102" s="957"/>
      <c r="AY102" s="957"/>
      <c r="AZ102" s="958"/>
      <c r="BA102" s="303"/>
      <c r="BB102" s="303"/>
    </row>
    <row r="103" spans="1:54" s="2" customFormat="1">
      <c r="A103" s="981"/>
      <c r="B103" s="205" t="s">
        <v>873</v>
      </c>
      <c r="C103" s="969"/>
      <c r="D103" s="943" t="s">
        <v>841</v>
      </c>
      <c r="E103" s="944"/>
      <c r="F103" s="944"/>
      <c r="G103" s="944"/>
      <c r="H103" s="944"/>
      <c r="I103" s="944"/>
      <c r="J103" s="944"/>
      <c r="K103" s="944"/>
      <c r="L103" s="944"/>
      <c r="M103" s="944"/>
      <c r="N103" s="945"/>
      <c r="O103" s="947">
        <v>4</v>
      </c>
      <c r="P103" s="948"/>
      <c r="Q103" s="948"/>
      <c r="R103" s="949"/>
      <c r="S103" s="940"/>
      <c r="T103" s="941"/>
      <c r="U103" s="941"/>
      <c r="V103" s="942"/>
      <c r="W103" s="940"/>
      <c r="X103" s="941"/>
      <c r="Y103" s="941"/>
      <c r="Z103" s="942"/>
      <c r="AA103" s="940"/>
      <c r="AB103" s="941"/>
      <c r="AC103" s="941"/>
      <c r="AD103" s="942"/>
      <c r="AE103" s="940"/>
      <c r="AF103" s="941"/>
      <c r="AG103" s="941"/>
      <c r="AH103" s="941"/>
      <c r="AI103" s="941"/>
      <c r="AJ103" s="942"/>
      <c r="AK103" s="947" t="s">
        <v>430</v>
      </c>
      <c r="AL103" s="948"/>
      <c r="AM103" s="948"/>
      <c r="AN103" s="949"/>
      <c r="AO103" s="956"/>
      <c r="AP103" s="957"/>
      <c r="AQ103" s="957"/>
      <c r="AR103" s="957"/>
      <c r="AS103" s="957"/>
      <c r="AT103" s="958"/>
      <c r="AU103" s="956"/>
      <c r="AV103" s="957"/>
      <c r="AW103" s="957"/>
      <c r="AX103" s="957"/>
      <c r="AY103" s="957"/>
      <c r="AZ103" s="958"/>
      <c r="BA103" s="303"/>
      <c r="BB103" s="303"/>
    </row>
    <row r="104" spans="1:54" s="2" customFormat="1" ht="18.75" customHeight="1">
      <c r="A104" s="301" t="s">
        <v>874</v>
      </c>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2"/>
      <c r="AV104" s="302"/>
      <c r="AW104" s="302"/>
      <c r="AX104" s="302"/>
      <c r="AY104" s="302"/>
      <c r="AZ104" s="302"/>
    </row>
    <row r="105" spans="1:54" s="2" customFormat="1">
      <c r="A105" s="990">
        <v>5</v>
      </c>
      <c r="B105" s="205" t="s">
        <v>875</v>
      </c>
      <c r="C105" s="968" t="s">
        <v>876</v>
      </c>
      <c r="D105" s="943" t="s">
        <v>876</v>
      </c>
      <c r="E105" s="944"/>
      <c r="F105" s="944"/>
      <c r="G105" s="944"/>
      <c r="H105" s="944"/>
      <c r="I105" s="944"/>
      <c r="J105" s="944"/>
      <c r="K105" s="944"/>
      <c r="L105" s="944"/>
      <c r="M105" s="944"/>
      <c r="N105" s="945"/>
      <c r="O105" s="947">
        <v>4</v>
      </c>
      <c r="P105" s="948"/>
      <c r="Q105" s="948"/>
      <c r="R105" s="949"/>
      <c r="S105" s="931">
        <f>W102</f>
        <v>45943</v>
      </c>
      <c r="T105" s="932"/>
      <c r="U105" s="932"/>
      <c r="V105" s="933"/>
      <c r="W105" s="931">
        <f>S105+1</f>
        <v>45944</v>
      </c>
      <c r="X105" s="932"/>
      <c r="Y105" s="932"/>
      <c r="Z105" s="933"/>
      <c r="AA105" s="931"/>
      <c r="AB105" s="932"/>
      <c r="AC105" s="932"/>
      <c r="AD105" s="933"/>
      <c r="AE105" s="931"/>
      <c r="AF105" s="932"/>
      <c r="AG105" s="932"/>
      <c r="AH105" s="932"/>
      <c r="AI105" s="932"/>
      <c r="AJ105" s="933"/>
      <c r="AK105" s="947" t="s">
        <v>430</v>
      </c>
      <c r="AL105" s="948"/>
      <c r="AM105" s="948"/>
      <c r="AN105" s="949"/>
      <c r="AO105" s="956"/>
      <c r="AP105" s="957"/>
      <c r="AQ105" s="957"/>
      <c r="AR105" s="957"/>
      <c r="AS105" s="957"/>
      <c r="AT105" s="958"/>
      <c r="AU105" s="956"/>
      <c r="AV105" s="957"/>
      <c r="AW105" s="957"/>
      <c r="AX105" s="957"/>
      <c r="AY105" s="957"/>
      <c r="AZ105" s="958"/>
      <c r="BA105" s="303"/>
      <c r="BB105" s="303"/>
    </row>
    <row r="106" spans="1:54" s="2" customFormat="1">
      <c r="A106" s="991"/>
      <c r="B106" s="205" t="s">
        <v>877</v>
      </c>
      <c r="C106" s="969"/>
      <c r="D106" s="943" t="s">
        <v>878</v>
      </c>
      <c r="E106" s="944"/>
      <c r="F106" s="944"/>
      <c r="G106" s="944"/>
      <c r="H106" s="944"/>
      <c r="I106" s="944"/>
      <c r="J106" s="944"/>
      <c r="K106" s="944"/>
      <c r="L106" s="944"/>
      <c r="M106" s="944"/>
      <c r="N106" s="945"/>
      <c r="O106" s="947">
        <v>4</v>
      </c>
      <c r="P106" s="948"/>
      <c r="Q106" s="948"/>
      <c r="R106" s="949"/>
      <c r="S106" s="953"/>
      <c r="T106" s="954"/>
      <c r="U106" s="954"/>
      <c r="V106" s="955"/>
      <c r="W106" s="953"/>
      <c r="X106" s="954"/>
      <c r="Y106" s="954"/>
      <c r="Z106" s="955"/>
      <c r="AA106" s="953"/>
      <c r="AB106" s="954"/>
      <c r="AC106" s="954"/>
      <c r="AD106" s="955"/>
      <c r="AE106" s="953"/>
      <c r="AF106" s="954"/>
      <c r="AG106" s="954"/>
      <c r="AH106" s="954"/>
      <c r="AI106" s="954"/>
      <c r="AJ106" s="955"/>
      <c r="AK106" s="947" t="s">
        <v>430</v>
      </c>
      <c r="AL106" s="948"/>
      <c r="AM106" s="948"/>
      <c r="AN106" s="949"/>
      <c r="AO106" s="956"/>
      <c r="AP106" s="957"/>
      <c r="AQ106" s="957"/>
      <c r="AR106" s="957"/>
      <c r="AS106" s="957"/>
      <c r="AT106" s="958"/>
      <c r="AU106" s="956"/>
      <c r="AV106" s="957"/>
      <c r="AW106" s="957"/>
      <c r="AX106" s="957"/>
      <c r="AY106" s="957"/>
      <c r="AZ106" s="958"/>
      <c r="BA106" s="303"/>
      <c r="BB106" s="303"/>
    </row>
    <row r="107" spans="1:54" s="2" customFormat="1" ht="15" customHeight="1">
      <c r="A107" s="991"/>
      <c r="B107" s="205" t="s">
        <v>879</v>
      </c>
      <c r="C107" s="968" t="s">
        <v>880</v>
      </c>
      <c r="D107" s="943" t="s">
        <v>881</v>
      </c>
      <c r="E107" s="944"/>
      <c r="F107" s="944"/>
      <c r="G107" s="944"/>
      <c r="H107" s="944"/>
      <c r="I107" s="944"/>
      <c r="J107" s="944"/>
      <c r="K107" s="944"/>
      <c r="L107" s="944"/>
      <c r="M107" s="944"/>
      <c r="N107" s="945"/>
      <c r="O107" s="947">
        <v>8</v>
      </c>
      <c r="P107" s="948"/>
      <c r="Q107" s="948"/>
      <c r="R107" s="949"/>
      <c r="S107" s="977">
        <f>W105</f>
        <v>45944</v>
      </c>
      <c r="T107" s="978"/>
      <c r="U107" s="978"/>
      <c r="V107" s="979"/>
      <c r="W107" s="977">
        <f>S107+1</f>
        <v>45945</v>
      </c>
      <c r="X107" s="978"/>
      <c r="Y107" s="978"/>
      <c r="Z107" s="979"/>
      <c r="AA107" s="977"/>
      <c r="AB107" s="978"/>
      <c r="AC107" s="978"/>
      <c r="AD107" s="979"/>
      <c r="AE107" s="977"/>
      <c r="AF107" s="978"/>
      <c r="AG107" s="978"/>
      <c r="AH107" s="978"/>
      <c r="AI107" s="978"/>
      <c r="AJ107" s="979"/>
      <c r="AK107" s="947" t="s">
        <v>430</v>
      </c>
      <c r="AL107" s="948"/>
      <c r="AM107" s="948"/>
      <c r="AN107" s="949"/>
      <c r="AO107" s="956"/>
      <c r="AP107" s="957"/>
      <c r="AQ107" s="957"/>
      <c r="AR107" s="957"/>
      <c r="AS107" s="957"/>
      <c r="AT107" s="958"/>
      <c r="AU107" s="956"/>
      <c r="AV107" s="957"/>
      <c r="AW107" s="957"/>
      <c r="AX107" s="957"/>
      <c r="AY107" s="957"/>
      <c r="AZ107" s="958"/>
      <c r="BA107" s="303"/>
      <c r="BB107" s="303"/>
    </row>
    <row r="108" spans="1:54" s="2" customFormat="1">
      <c r="A108" s="991"/>
      <c r="B108" s="205" t="s">
        <v>882</v>
      </c>
      <c r="C108" s="946"/>
      <c r="D108" s="943" t="s">
        <v>883</v>
      </c>
      <c r="E108" s="944"/>
      <c r="F108" s="944"/>
      <c r="G108" s="944"/>
      <c r="H108" s="944"/>
      <c r="I108" s="944"/>
      <c r="J108" s="944"/>
      <c r="K108" s="944"/>
      <c r="L108" s="944"/>
      <c r="M108" s="944"/>
      <c r="N108" s="945"/>
      <c r="O108" s="947">
        <v>8</v>
      </c>
      <c r="P108" s="948"/>
      <c r="Q108" s="948"/>
      <c r="R108" s="949"/>
      <c r="S108" s="977">
        <f>W107</f>
        <v>45945</v>
      </c>
      <c r="T108" s="978"/>
      <c r="U108" s="978"/>
      <c r="V108" s="979"/>
      <c r="W108" s="977">
        <f>S108+1</f>
        <v>45946</v>
      </c>
      <c r="X108" s="978"/>
      <c r="Y108" s="978"/>
      <c r="Z108" s="979"/>
      <c r="AA108" s="977"/>
      <c r="AB108" s="978"/>
      <c r="AC108" s="978"/>
      <c r="AD108" s="979"/>
      <c r="AE108" s="977"/>
      <c r="AF108" s="978"/>
      <c r="AG108" s="978"/>
      <c r="AH108" s="978"/>
      <c r="AI108" s="978"/>
      <c r="AJ108" s="979"/>
      <c r="AK108" s="947" t="s">
        <v>430</v>
      </c>
      <c r="AL108" s="948"/>
      <c r="AM108" s="948"/>
      <c r="AN108" s="949"/>
      <c r="AO108" s="956"/>
      <c r="AP108" s="957"/>
      <c r="AQ108" s="957"/>
      <c r="AR108" s="957"/>
      <c r="AS108" s="957"/>
      <c r="AT108" s="958"/>
      <c r="AU108" s="956"/>
      <c r="AV108" s="957"/>
      <c r="AW108" s="957"/>
      <c r="AX108" s="957"/>
      <c r="AY108" s="957"/>
      <c r="AZ108" s="958"/>
      <c r="BA108" s="303"/>
      <c r="BB108" s="303"/>
    </row>
    <row r="109" spans="1:54" s="2" customFormat="1">
      <c r="A109" s="991"/>
      <c r="B109" s="205" t="s">
        <v>884</v>
      </c>
      <c r="C109" s="946"/>
      <c r="D109" s="943" t="s">
        <v>885</v>
      </c>
      <c r="E109" s="944"/>
      <c r="F109" s="944"/>
      <c r="G109" s="944"/>
      <c r="H109" s="944"/>
      <c r="I109" s="944"/>
      <c r="J109" s="944"/>
      <c r="K109" s="944"/>
      <c r="L109" s="944"/>
      <c r="M109" s="944"/>
      <c r="N109" s="945"/>
      <c r="O109" s="947">
        <v>4</v>
      </c>
      <c r="P109" s="948"/>
      <c r="Q109" s="948"/>
      <c r="R109" s="949"/>
      <c r="S109" s="931">
        <f>W108+2</f>
        <v>45948</v>
      </c>
      <c r="T109" s="932"/>
      <c r="U109" s="932"/>
      <c r="V109" s="933"/>
      <c r="W109" s="931">
        <f>S109+1</f>
        <v>45949</v>
      </c>
      <c r="X109" s="932"/>
      <c r="Y109" s="932"/>
      <c r="Z109" s="933"/>
      <c r="AA109" s="931"/>
      <c r="AB109" s="932"/>
      <c r="AC109" s="932"/>
      <c r="AD109" s="933"/>
      <c r="AE109" s="931"/>
      <c r="AF109" s="932"/>
      <c r="AG109" s="932"/>
      <c r="AH109" s="932"/>
      <c r="AI109" s="932"/>
      <c r="AJ109" s="933"/>
      <c r="AK109" s="947" t="s">
        <v>430</v>
      </c>
      <c r="AL109" s="948"/>
      <c r="AM109" s="948"/>
      <c r="AN109" s="949"/>
      <c r="AO109" s="956"/>
      <c r="AP109" s="957"/>
      <c r="AQ109" s="957"/>
      <c r="AR109" s="957"/>
      <c r="AS109" s="957"/>
      <c r="AT109" s="958"/>
      <c r="AU109" s="956"/>
      <c r="AV109" s="957"/>
      <c r="AW109" s="957"/>
      <c r="AX109" s="957"/>
      <c r="AY109" s="957"/>
      <c r="AZ109" s="958"/>
      <c r="BA109" s="303"/>
      <c r="BB109" s="303"/>
    </row>
    <row r="110" spans="1:54" s="2" customFormat="1">
      <c r="A110" s="991"/>
      <c r="B110" s="205" t="s">
        <v>886</v>
      </c>
      <c r="C110" s="969"/>
      <c r="D110" s="943" t="s">
        <v>887</v>
      </c>
      <c r="E110" s="944"/>
      <c r="F110" s="944"/>
      <c r="G110" s="944"/>
      <c r="H110" s="944"/>
      <c r="I110" s="944"/>
      <c r="J110" s="944"/>
      <c r="K110" s="944"/>
      <c r="L110" s="944"/>
      <c r="M110" s="944"/>
      <c r="N110" s="945"/>
      <c r="O110" s="947">
        <v>4</v>
      </c>
      <c r="P110" s="948"/>
      <c r="Q110" s="948"/>
      <c r="R110" s="949"/>
      <c r="S110" s="953"/>
      <c r="T110" s="954"/>
      <c r="U110" s="954"/>
      <c r="V110" s="955"/>
      <c r="W110" s="953"/>
      <c r="X110" s="954"/>
      <c r="Y110" s="954"/>
      <c r="Z110" s="955"/>
      <c r="AA110" s="953"/>
      <c r="AB110" s="954"/>
      <c r="AC110" s="954"/>
      <c r="AD110" s="955"/>
      <c r="AE110" s="953"/>
      <c r="AF110" s="954"/>
      <c r="AG110" s="954"/>
      <c r="AH110" s="954"/>
      <c r="AI110" s="954"/>
      <c r="AJ110" s="955"/>
      <c r="AK110" s="947" t="s">
        <v>430</v>
      </c>
      <c r="AL110" s="948"/>
      <c r="AM110" s="948"/>
      <c r="AN110" s="949"/>
      <c r="AO110" s="956"/>
      <c r="AP110" s="957"/>
      <c r="AQ110" s="957"/>
      <c r="AR110" s="957"/>
      <c r="AS110" s="957"/>
      <c r="AT110" s="958"/>
      <c r="AU110" s="956"/>
      <c r="AV110" s="957"/>
      <c r="AW110" s="957"/>
      <c r="AX110" s="957"/>
      <c r="AY110" s="957"/>
      <c r="AZ110" s="958"/>
      <c r="BA110" s="303"/>
      <c r="BB110" s="303"/>
    </row>
    <row r="111" spans="1:54" s="2" customFormat="1">
      <c r="A111" s="991"/>
      <c r="B111" s="205" t="s">
        <v>888</v>
      </c>
      <c r="C111" s="968" t="s">
        <v>889</v>
      </c>
      <c r="D111" s="943" t="s">
        <v>890</v>
      </c>
      <c r="E111" s="944"/>
      <c r="F111" s="944"/>
      <c r="G111" s="944"/>
      <c r="H111" s="944"/>
      <c r="I111" s="944"/>
      <c r="J111" s="944"/>
      <c r="K111" s="944"/>
      <c r="L111" s="944"/>
      <c r="M111" s="944"/>
      <c r="N111" s="945"/>
      <c r="O111" s="947">
        <v>4</v>
      </c>
      <c r="P111" s="948"/>
      <c r="Q111" s="948"/>
      <c r="R111" s="949"/>
      <c r="S111" s="931">
        <f>W109</f>
        <v>45949</v>
      </c>
      <c r="T111" s="932"/>
      <c r="U111" s="932"/>
      <c r="V111" s="933"/>
      <c r="W111" s="931">
        <f>S111+1</f>
        <v>45950</v>
      </c>
      <c r="X111" s="932"/>
      <c r="Y111" s="932"/>
      <c r="Z111" s="933"/>
      <c r="AA111" s="931"/>
      <c r="AB111" s="932"/>
      <c r="AC111" s="932"/>
      <c r="AD111" s="933"/>
      <c r="AE111" s="931"/>
      <c r="AF111" s="932"/>
      <c r="AG111" s="932"/>
      <c r="AH111" s="932"/>
      <c r="AI111" s="932"/>
      <c r="AJ111" s="933"/>
      <c r="AK111" s="947" t="s">
        <v>430</v>
      </c>
      <c r="AL111" s="948"/>
      <c r="AM111" s="948"/>
      <c r="AN111" s="949"/>
      <c r="AO111" s="956"/>
      <c r="AP111" s="957"/>
      <c r="AQ111" s="957"/>
      <c r="AR111" s="957"/>
      <c r="AS111" s="957"/>
      <c r="AT111" s="958"/>
      <c r="AU111" s="956"/>
      <c r="AV111" s="957"/>
      <c r="AW111" s="957"/>
      <c r="AX111" s="957"/>
      <c r="AY111" s="957"/>
      <c r="AZ111" s="958"/>
      <c r="BA111" s="303"/>
      <c r="BB111" s="303"/>
    </row>
    <row r="112" spans="1:54" s="2" customFormat="1">
      <c r="A112" s="991"/>
      <c r="B112" s="205" t="s">
        <v>891</v>
      </c>
      <c r="C112" s="969"/>
      <c r="D112" s="943" t="s">
        <v>892</v>
      </c>
      <c r="E112" s="944"/>
      <c r="F112" s="944"/>
      <c r="G112" s="944"/>
      <c r="H112" s="944"/>
      <c r="I112" s="944"/>
      <c r="J112" s="944"/>
      <c r="K112" s="944"/>
      <c r="L112" s="944"/>
      <c r="M112" s="944"/>
      <c r="N112" s="945"/>
      <c r="O112" s="947">
        <v>4</v>
      </c>
      <c r="P112" s="948"/>
      <c r="Q112" s="948"/>
      <c r="R112" s="949"/>
      <c r="S112" s="953"/>
      <c r="T112" s="954"/>
      <c r="U112" s="954"/>
      <c r="V112" s="955"/>
      <c r="W112" s="953"/>
      <c r="X112" s="954"/>
      <c r="Y112" s="954"/>
      <c r="Z112" s="955"/>
      <c r="AA112" s="953"/>
      <c r="AB112" s="954"/>
      <c r="AC112" s="954"/>
      <c r="AD112" s="955"/>
      <c r="AE112" s="953"/>
      <c r="AF112" s="954"/>
      <c r="AG112" s="954"/>
      <c r="AH112" s="954"/>
      <c r="AI112" s="954"/>
      <c r="AJ112" s="955"/>
      <c r="AK112" s="947" t="s">
        <v>430</v>
      </c>
      <c r="AL112" s="948"/>
      <c r="AM112" s="948"/>
      <c r="AN112" s="949"/>
      <c r="AO112" s="956"/>
      <c r="AP112" s="957"/>
      <c r="AQ112" s="957"/>
      <c r="AR112" s="957"/>
      <c r="AS112" s="957"/>
      <c r="AT112" s="958"/>
      <c r="AU112" s="956"/>
      <c r="AV112" s="957"/>
      <c r="AW112" s="957"/>
      <c r="AX112" s="957"/>
      <c r="AY112" s="957"/>
      <c r="AZ112" s="958"/>
      <c r="BA112" s="303"/>
      <c r="BB112" s="303"/>
    </row>
    <row r="113" spans="1:60" s="2" customFormat="1">
      <c r="A113" s="991"/>
      <c r="B113" s="205" t="s">
        <v>893</v>
      </c>
      <c r="C113" s="968" t="s">
        <v>894</v>
      </c>
      <c r="D113" s="943" t="s">
        <v>895</v>
      </c>
      <c r="E113" s="944"/>
      <c r="F113" s="944"/>
      <c r="G113" s="944"/>
      <c r="H113" s="944"/>
      <c r="I113" s="944"/>
      <c r="J113" s="944"/>
      <c r="K113" s="944"/>
      <c r="L113" s="944"/>
      <c r="M113" s="944"/>
      <c r="N113" s="945"/>
      <c r="O113" s="947">
        <v>4</v>
      </c>
      <c r="P113" s="948"/>
      <c r="Q113" s="948"/>
      <c r="R113" s="949"/>
      <c r="S113" s="931">
        <f>W111</f>
        <v>45950</v>
      </c>
      <c r="T113" s="932"/>
      <c r="U113" s="932"/>
      <c r="V113" s="933"/>
      <c r="W113" s="931">
        <f t="shared" ref="W113" si="6">S113+1</f>
        <v>45951</v>
      </c>
      <c r="X113" s="932"/>
      <c r="Y113" s="932"/>
      <c r="Z113" s="933"/>
      <c r="AA113" s="931"/>
      <c r="AB113" s="932"/>
      <c r="AC113" s="932"/>
      <c r="AD113" s="933"/>
      <c r="AE113" s="931"/>
      <c r="AF113" s="932"/>
      <c r="AG113" s="932"/>
      <c r="AH113" s="932"/>
      <c r="AI113" s="932"/>
      <c r="AJ113" s="933"/>
      <c r="AK113" s="947" t="s">
        <v>430</v>
      </c>
      <c r="AL113" s="948"/>
      <c r="AM113" s="948"/>
      <c r="AN113" s="949"/>
      <c r="AO113" s="956"/>
      <c r="AP113" s="957"/>
      <c r="AQ113" s="957"/>
      <c r="AR113" s="957"/>
      <c r="AS113" s="957"/>
      <c r="AT113" s="958"/>
      <c r="AU113" s="956"/>
      <c r="AV113" s="957"/>
      <c r="AW113" s="957"/>
      <c r="AX113" s="957"/>
      <c r="AY113" s="957"/>
      <c r="AZ113" s="958"/>
      <c r="BA113" s="303"/>
      <c r="BB113" s="303"/>
    </row>
    <row r="114" spans="1:60" s="2" customFormat="1">
      <c r="A114" s="991"/>
      <c r="B114" s="205" t="s">
        <v>896</v>
      </c>
      <c r="C114" s="969"/>
      <c r="D114" s="943" t="s">
        <v>897</v>
      </c>
      <c r="E114" s="944"/>
      <c r="F114" s="944"/>
      <c r="G114" s="944"/>
      <c r="H114" s="944"/>
      <c r="I114" s="944"/>
      <c r="J114" s="944"/>
      <c r="K114" s="944"/>
      <c r="L114" s="944"/>
      <c r="M114" s="944"/>
      <c r="N114" s="945"/>
      <c r="O114" s="947">
        <v>4</v>
      </c>
      <c r="P114" s="948"/>
      <c r="Q114" s="948"/>
      <c r="R114" s="949"/>
      <c r="S114" s="953"/>
      <c r="T114" s="954"/>
      <c r="U114" s="954"/>
      <c r="V114" s="955"/>
      <c r="W114" s="953"/>
      <c r="X114" s="954"/>
      <c r="Y114" s="954"/>
      <c r="Z114" s="955"/>
      <c r="AA114" s="953"/>
      <c r="AB114" s="954"/>
      <c r="AC114" s="954"/>
      <c r="AD114" s="955"/>
      <c r="AE114" s="953"/>
      <c r="AF114" s="954"/>
      <c r="AG114" s="954"/>
      <c r="AH114" s="954"/>
      <c r="AI114" s="954"/>
      <c r="AJ114" s="955"/>
      <c r="AK114" s="947" t="s">
        <v>430</v>
      </c>
      <c r="AL114" s="948"/>
      <c r="AM114" s="948"/>
      <c r="AN114" s="949"/>
      <c r="AO114" s="956"/>
      <c r="AP114" s="957"/>
      <c r="AQ114" s="957"/>
      <c r="AR114" s="957"/>
      <c r="AS114" s="957"/>
      <c r="AT114" s="958"/>
      <c r="AU114" s="956"/>
      <c r="AV114" s="957"/>
      <c r="AW114" s="957"/>
      <c r="AX114" s="957"/>
      <c r="AY114" s="957"/>
      <c r="AZ114" s="958"/>
      <c r="BA114" s="303"/>
      <c r="BB114" s="303"/>
    </row>
    <row r="115" spans="1:60" s="2" customFormat="1" ht="15" customHeight="1">
      <c r="A115" s="991"/>
      <c r="B115" s="205" t="s">
        <v>898</v>
      </c>
      <c r="C115" s="968" t="s">
        <v>899</v>
      </c>
      <c r="D115" s="943" t="s">
        <v>900</v>
      </c>
      <c r="E115" s="944"/>
      <c r="F115" s="944"/>
      <c r="G115" s="944"/>
      <c r="H115" s="944"/>
      <c r="I115" s="944"/>
      <c r="J115" s="944"/>
      <c r="K115" s="944"/>
      <c r="L115" s="944"/>
      <c r="M115" s="944"/>
      <c r="N115" s="945"/>
      <c r="O115" s="947">
        <v>4</v>
      </c>
      <c r="P115" s="948"/>
      <c r="Q115" s="948"/>
      <c r="R115" s="949"/>
      <c r="S115" s="931">
        <f>W113</f>
        <v>45951</v>
      </c>
      <c r="T115" s="932"/>
      <c r="U115" s="932"/>
      <c r="V115" s="933"/>
      <c r="W115" s="931">
        <f t="shared" ref="W115" si="7">S115+1</f>
        <v>45952</v>
      </c>
      <c r="X115" s="932"/>
      <c r="Y115" s="932"/>
      <c r="Z115" s="933"/>
      <c r="AA115" s="931"/>
      <c r="AB115" s="932"/>
      <c r="AC115" s="932"/>
      <c r="AD115" s="933"/>
      <c r="AE115" s="931"/>
      <c r="AF115" s="932"/>
      <c r="AG115" s="932"/>
      <c r="AH115" s="932"/>
      <c r="AI115" s="932"/>
      <c r="AJ115" s="933"/>
      <c r="AK115" s="947" t="s">
        <v>430</v>
      </c>
      <c r="AL115" s="948"/>
      <c r="AM115" s="948"/>
      <c r="AN115" s="949"/>
      <c r="AO115" s="956"/>
      <c r="AP115" s="957"/>
      <c r="AQ115" s="957"/>
      <c r="AR115" s="957"/>
      <c r="AS115" s="957"/>
      <c r="AT115" s="958"/>
      <c r="AU115" s="956"/>
      <c r="AV115" s="957"/>
      <c r="AW115" s="957"/>
      <c r="AX115" s="957"/>
      <c r="AY115" s="957"/>
      <c r="AZ115" s="958"/>
    </row>
    <row r="116" spans="1:60" s="2" customFormat="1">
      <c r="A116" s="991"/>
      <c r="B116" s="205" t="s">
        <v>901</v>
      </c>
      <c r="C116" s="946"/>
      <c r="D116" s="943" t="s">
        <v>902</v>
      </c>
      <c r="E116" s="944"/>
      <c r="F116" s="944"/>
      <c r="G116" s="944"/>
      <c r="H116" s="944"/>
      <c r="I116" s="944"/>
      <c r="J116" s="944"/>
      <c r="K116" s="944"/>
      <c r="L116" s="944"/>
      <c r="M116" s="944"/>
      <c r="N116" s="945"/>
      <c r="O116" s="947">
        <v>4</v>
      </c>
      <c r="P116" s="948"/>
      <c r="Q116" s="948"/>
      <c r="R116" s="949"/>
      <c r="S116" s="953"/>
      <c r="T116" s="954"/>
      <c r="U116" s="954"/>
      <c r="V116" s="955"/>
      <c r="W116" s="953"/>
      <c r="X116" s="954"/>
      <c r="Y116" s="954"/>
      <c r="Z116" s="955"/>
      <c r="AA116" s="953"/>
      <c r="AB116" s="954"/>
      <c r="AC116" s="954"/>
      <c r="AD116" s="955"/>
      <c r="AE116" s="953"/>
      <c r="AF116" s="954"/>
      <c r="AG116" s="954"/>
      <c r="AH116" s="954"/>
      <c r="AI116" s="954"/>
      <c r="AJ116" s="955"/>
      <c r="AK116" s="947" t="s">
        <v>430</v>
      </c>
      <c r="AL116" s="948"/>
      <c r="AM116" s="948"/>
      <c r="AN116" s="949"/>
      <c r="AO116" s="956"/>
      <c r="AP116" s="957"/>
      <c r="AQ116" s="957"/>
      <c r="AR116" s="957"/>
      <c r="AS116" s="957"/>
      <c r="AT116" s="958"/>
      <c r="AU116" s="956"/>
      <c r="AV116" s="957"/>
      <c r="AW116" s="957"/>
      <c r="AX116" s="957"/>
      <c r="AY116" s="957"/>
      <c r="AZ116" s="958"/>
    </row>
    <row r="117" spans="1:60">
      <c r="A117" s="991"/>
      <c r="B117" s="205" t="s">
        <v>903</v>
      </c>
      <c r="C117" s="946"/>
      <c r="D117" s="943" t="s">
        <v>904</v>
      </c>
      <c r="E117" s="944"/>
      <c r="F117" s="944"/>
      <c r="G117" s="944"/>
      <c r="H117" s="944"/>
      <c r="I117" s="944"/>
      <c r="J117" s="944"/>
      <c r="K117" s="944"/>
      <c r="L117" s="944"/>
      <c r="M117" s="944"/>
      <c r="N117" s="945"/>
      <c r="O117" s="947">
        <v>4</v>
      </c>
      <c r="P117" s="948"/>
      <c r="Q117" s="948"/>
      <c r="R117" s="949"/>
      <c r="S117" s="931">
        <f>W115</f>
        <v>45952</v>
      </c>
      <c r="T117" s="932"/>
      <c r="U117" s="932"/>
      <c r="V117" s="933"/>
      <c r="W117" s="931">
        <f t="shared" ref="W117" si="8">S117+1</f>
        <v>45953</v>
      </c>
      <c r="X117" s="932"/>
      <c r="Y117" s="932"/>
      <c r="Z117" s="933"/>
      <c r="AA117" s="931"/>
      <c r="AB117" s="932"/>
      <c r="AC117" s="932"/>
      <c r="AD117" s="933"/>
      <c r="AE117" s="931"/>
      <c r="AF117" s="932"/>
      <c r="AG117" s="932"/>
      <c r="AH117" s="932"/>
      <c r="AI117" s="932"/>
      <c r="AJ117" s="933"/>
      <c r="AK117" s="947" t="s">
        <v>430</v>
      </c>
      <c r="AL117" s="948"/>
      <c r="AM117" s="948"/>
      <c r="AN117" s="949"/>
      <c r="AO117" s="963"/>
      <c r="AP117" s="964"/>
      <c r="AQ117" s="964"/>
      <c r="AR117" s="964"/>
      <c r="AS117" s="964"/>
      <c r="AT117" s="965"/>
      <c r="AU117" s="963"/>
      <c r="AV117" s="964"/>
      <c r="AW117" s="964"/>
      <c r="AX117" s="964"/>
      <c r="AY117" s="964"/>
      <c r="AZ117" s="965"/>
    </row>
    <row r="118" spans="1:60">
      <c r="A118" s="991"/>
      <c r="B118" s="205" t="s">
        <v>905</v>
      </c>
      <c r="C118" s="946"/>
      <c r="D118" s="943" t="s">
        <v>906</v>
      </c>
      <c r="E118" s="944"/>
      <c r="F118" s="944"/>
      <c r="G118" s="944"/>
      <c r="H118" s="944"/>
      <c r="I118" s="944"/>
      <c r="J118" s="944"/>
      <c r="K118" s="944"/>
      <c r="L118" s="944"/>
      <c r="M118" s="944"/>
      <c r="N118" s="945"/>
      <c r="O118" s="947">
        <v>4</v>
      </c>
      <c r="P118" s="948"/>
      <c r="Q118" s="948"/>
      <c r="R118" s="949"/>
      <c r="S118" s="953"/>
      <c r="T118" s="954"/>
      <c r="U118" s="954"/>
      <c r="V118" s="955"/>
      <c r="W118" s="953"/>
      <c r="X118" s="954"/>
      <c r="Y118" s="954"/>
      <c r="Z118" s="955"/>
      <c r="AA118" s="953"/>
      <c r="AB118" s="954"/>
      <c r="AC118" s="954"/>
      <c r="AD118" s="955"/>
      <c r="AE118" s="953"/>
      <c r="AF118" s="954"/>
      <c r="AG118" s="954"/>
      <c r="AH118" s="954"/>
      <c r="AI118" s="954"/>
      <c r="AJ118" s="955"/>
      <c r="AK118" s="947" t="s">
        <v>430</v>
      </c>
      <c r="AL118" s="948"/>
      <c r="AM118" s="948"/>
      <c r="AN118" s="949"/>
      <c r="AO118" s="963"/>
      <c r="AP118" s="964"/>
      <c r="AQ118" s="964"/>
      <c r="AR118" s="964"/>
      <c r="AS118" s="964"/>
      <c r="AT118" s="965"/>
      <c r="AU118" s="963"/>
      <c r="AV118" s="964"/>
      <c r="AW118" s="964"/>
      <c r="AX118" s="964"/>
      <c r="AY118" s="964"/>
      <c r="AZ118" s="965"/>
    </row>
    <row r="119" spans="1:60">
      <c r="A119" s="991"/>
      <c r="B119" s="205" t="s">
        <v>907</v>
      </c>
      <c r="C119" s="946" t="s">
        <v>426</v>
      </c>
      <c r="D119" s="934" t="s">
        <v>301</v>
      </c>
      <c r="E119" s="935"/>
      <c r="F119" s="935"/>
      <c r="G119" s="935"/>
      <c r="H119" s="935"/>
      <c r="I119" s="935"/>
      <c r="J119" s="935"/>
      <c r="K119" s="935"/>
      <c r="L119" s="935"/>
      <c r="M119" s="935"/>
      <c r="N119" s="936"/>
      <c r="O119" s="937">
        <v>2</v>
      </c>
      <c r="P119" s="938"/>
      <c r="Q119" s="938"/>
      <c r="R119" s="939"/>
      <c r="S119" s="931">
        <f>W117+2</f>
        <v>45955</v>
      </c>
      <c r="T119" s="932"/>
      <c r="U119" s="932"/>
      <c r="V119" s="933"/>
      <c r="W119" s="931">
        <f t="shared" ref="W119" si="9">S119+1</f>
        <v>45956</v>
      </c>
      <c r="X119" s="932"/>
      <c r="Y119" s="932"/>
      <c r="Z119" s="933"/>
      <c r="AA119" s="931"/>
      <c r="AB119" s="932"/>
      <c r="AC119" s="932"/>
      <c r="AD119" s="933"/>
      <c r="AE119" s="931"/>
      <c r="AF119" s="932"/>
      <c r="AG119" s="932"/>
      <c r="AH119" s="932"/>
      <c r="AI119" s="932"/>
      <c r="AJ119" s="933"/>
      <c r="AK119" s="947" t="s">
        <v>430</v>
      </c>
      <c r="AL119" s="948"/>
      <c r="AM119" s="948"/>
      <c r="AN119" s="949"/>
      <c r="AO119" s="963"/>
      <c r="AP119" s="964"/>
      <c r="AQ119" s="964"/>
      <c r="AR119" s="964"/>
      <c r="AS119" s="964"/>
      <c r="AT119" s="965"/>
      <c r="AU119" s="956"/>
      <c r="AV119" s="957"/>
      <c r="AW119" s="957"/>
      <c r="AX119" s="957"/>
      <c r="AY119" s="957"/>
      <c r="AZ119" s="958"/>
    </row>
    <row r="120" spans="1:60">
      <c r="A120" s="992"/>
      <c r="B120" s="205" t="s">
        <v>908</v>
      </c>
      <c r="C120" s="969"/>
      <c r="D120" s="934" t="s">
        <v>780</v>
      </c>
      <c r="E120" s="935"/>
      <c r="F120" s="935"/>
      <c r="G120" s="935"/>
      <c r="H120" s="935"/>
      <c r="I120" s="935"/>
      <c r="J120" s="935"/>
      <c r="K120" s="935"/>
      <c r="L120" s="935"/>
      <c r="M120" s="935"/>
      <c r="N120" s="936"/>
      <c r="O120" s="937">
        <v>6</v>
      </c>
      <c r="P120" s="938"/>
      <c r="Q120" s="938"/>
      <c r="R120" s="939"/>
      <c r="S120" s="953"/>
      <c r="T120" s="954"/>
      <c r="U120" s="954"/>
      <c r="V120" s="955"/>
      <c r="W120" s="953"/>
      <c r="X120" s="954"/>
      <c r="Y120" s="954"/>
      <c r="Z120" s="955"/>
      <c r="AA120" s="953"/>
      <c r="AB120" s="954"/>
      <c r="AC120" s="954"/>
      <c r="AD120" s="955"/>
      <c r="AE120" s="953"/>
      <c r="AF120" s="954"/>
      <c r="AG120" s="954"/>
      <c r="AH120" s="954"/>
      <c r="AI120" s="954"/>
      <c r="AJ120" s="955"/>
      <c r="AK120" s="947" t="s">
        <v>430</v>
      </c>
      <c r="AL120" s="948"/>
      <c r="AM120" s="948"/>
      <c r="AN120" s="949"/>
      <c r="AO120" s="963"/>
      <c r="AP120" s="964"/>
      <c r="AQ120" s="964"/>
      <c r="AR120" s="964"/>
      <c r="AS120" s="964"/>
      <c r="AT120" s="965"/>
      <c r="AU120" s="956"/>
      <c r="AV120" s="957"/>
      <c r="AW120" s="957"/>
      <c r="AX120" s="957"/>
      <c r="AY120" s="957"/>
      <c r="AZ120" s="958"/>
    </row>
    <row r="121" spans="1:60">
      <c r="A121" s="983" t="s">
        <v>909</v>
      </c>
      <c r="B121" s="984"/>
      <c r="C121" s="984"/>
      <c r="D121" s="984"/>
      <c r="E121" s="984"/>
      <c r="F121" s="984"/>
      <c r="G121" s="984"/>
      <c r="H121" s="984"/>
      <c r="I121" s="984"/>
      <c r="J121" s="984"/>
      <c r="K121" s="984"/>
      <c r="L121" s="984"/>
      <c r="M121" s="984"/>
      <c r="N121" s="984"/>
      <c r="O121" s="984"/>
      <c r="P121" s="984"/>
      <c r="Q121" s="984"/>
      <c r="R121" s="984"/>
      <c r="S121" s="984"/>
      <c r="T121" s="984"/>
      <c r="U121" s="984"/>
      <c r="V121" s="984"/>
      <c r="W121" s="984"/>
      <c r="X121" s="984"/>
      <c r="Y121" s="984"/>
      <c r="Z121" s="984"/>
      <c r="AA121" s="984"/>
      <c r="AB121" s="984"/>
      <c r="AC121" s="984"/>
      <c r="AD121" s="984"/>
      <c r="AE121" s="984"/>
      <c r="AF121" s="984"/>
      <c r="AG121" s="984"/>
      <c r="AH121" s="984"/>
      <c r="AI121" s="984"/>
      <c r="AJ121" s="984"/>
      <c r="AK121" s="984"/>
      <c r="AL121" s="984"/>
      <c r="AM121" s="984"/>
      <c r="AN121" s="984"/>
      <c r="AO121" s="984"/>
      <c r="AP121" s="984"/>
      <c r="AQ121" s="984"/>
      <c r="AR121" s="984"/>
      <c r="AS121" s="984"/>
      <c r="AT121" s="984"/>
      <c r="AU121" s="984"/>
      <c r="AV121" s="984"/>
      <c r="AW121" s="984"/>
      <c r="AX121" s="984"/>
      <c r="AY121" s="984"/>
      <c r="AZ121" s="984"/>
      <c r="BA121" s="2"/>
      <c r="BB121" s="2"/>
    </row>
    <row r="122" spans="1:60" ht="16.5" customHeight="1">
      <c r="A122" s="990">
        <v>6</v>
      </c>
      <c r="B122" s="205" t="s">
        <v>910</v>
      </c>
      <c r="C122" s="968" t="s">
        <v>911</v>
      </c>
      <c r="D122" s="943" t="s">
        <v>912</v>
      </c>
      <c r="E122" s="944"/>
      <c r="F122" s="944"/>
      <c r="G122" s="944"/>
      <c r="H122" s="944"/>
      <c r="I122" s="944"/>
      <c r="J122" s="944"/>
      <c r="K122" s="944"/>
      <c r="L122" s="944"/>
      <c r="M122" s="944"/>
      <c r="N122" s="945"/>
      <c r="O122" s="947">
        <v>4</v>
      </c>
      <c r="P122" s="948"/>
      <c r="Q122" s="948"/>
      <c r="R122" s="949"/>
      <c r="S122" s="931">
        <f>W119</f>
        <v>45956</v>
      </c>
      <c r="T122" s="932"/>
      <c r="U122" s="932"/>
      <c r="V122" s="933"/>
      <c r="W122" s="931">
        <f t="shared" ref="W122" si="10">S122+1</f>
        <v>45957</v>
      </c>
      <c r="X122" s="932"/>
      <c r="Y122" s="932"/>
      <c r="Z122" s="933"/>
      <c r="AA122" s="931"/>
      <c r="AB122" s="932"/>
      <c r="AC122" s="932"/>
      <c r="AD122" s="933"/>
      <c r="AE122" s="931"/>
      <c r="AF122" s="932"/>
      <c r="AG122" s="932"/>
      <c r="AH122" s="932"/>
      <c r="AI122" s="932"/>
      <c r="AJ122" s="933"/>
      <c r="AK122" s="947" t="s">
        <v>430</v>
      </c>
      <c r="AL122" s="948"/>
      <c r="AM122" s="948"/>
      <c r="AN122" s="949"/>
      <c r="AO122" s="963"/>
      <c r="AP122" s="964"/>
      <c r="AQ122" s="964"/>
      <c r="AR122" s="964"/>
      <c r="AS122" s="964"/>
      <c r="AT122" s="965"/>
      <c r="AU122" s="956"/>
      <c r="AV122" s="957"/>
      <c r="AW122" s="957"/>
      <c r="AX122" s="957"/>
      <c r="AY122" s="957"/>
      <c r="AZ122" s="958"/>
    </row>
    <row r="123" spans="1:60" ht="15.75" customHeight="1">
      <c r="A123" s="991"/>
      <c r="B123" s="205" t="s">
        <v>913</v>
      </c>
      <c r="C123" s="969"/>
      <c r="D123" s="943" t="s">
        <v>914</v>
      </c>
      <c r="E123" s="944"/>
      <c r="F123" s="944"/>
      <c r="G123" s="944"/>
      <c r="H123" s="944"/>
      <c r="I123" s="944"/>
      <c r="J123" s="944"/>
      <c r="K123" s="944"/>
      <c r="L123" s="944"/>
      <c r="M123" s="944"/>
      <c r="N123" s="945"/>
      <c r="O123" s="947">
        <v>4</v>
      </c>
      <c r="P123" s="948"/>
      <c r="Q123" s="948"/>
      <c r="R123" s="949"/>
      <c r="S123" s="953"/>
      <c r="T123" s="954"/>
      <c r="U123" s="954"/>
      <c r="V123" s="955"/>
      <c r="W123" s="953"/>
      <c r="X123" s="954"/>
      <c r="Y123" s="954"/>
      <c r="Z123" s="955"/>
      <c r="AA123" s="953"/>
      <c r="AB123" s="954"/>
      <c r="AC123" s="954"/>
      <c r="AD123" s="955"/>
      <c r="AE123" s="953"/>
      <c r="AF123" s="954"/>
      <c r="AG123" s="954"/>
      <c r="AH123" s="954"/>
      <c r="AI123" s="954"/>
      <c r="AJ123" s="955"/>
      <c r="AK123" s="947" t="s">
        <v>430</v>
      </c>
      <c r="AL123" s="948"/>
      <c r="AM123" s="948"/>
      <c r="AN123" s="949"/>
      <c r="AO123" s="963"/>
      <c r="AP123" s="964"/>
      <c r="AQ123" s="964"/>
      <c r="AR123" s="964"/>
      <c r="AS123" s="964"/>
      <c r="AT123" s="965"/>
      <c r="AU123" s="956"/>
      <c r="AV123" s="957"/>
      <c r="AW123" s="957"/>
      <c r="AX123" s="957"/>
      <c r="AY123" s="957"/>
      <c r="AZ123" s="958"/>
    </row>
    <row r="124" spans="1:60" ht="17.25" customHeight="1">
      <c r="A124" s="991"/>
      <c r="B124" s="205" t="s">
        <v>915</v>
      </c>
      <c r="C124" s="968" t="s">
        <v>916</v>
      </c>
      <c r="D124" s="943" t="s">
        <v>917</v>
      </c>
      <c r="E124" s="944"/>
      <c r="F124" s="944"/>
      <c r="G124" s="944"/>
      <c r="H124" s="944"/>
      <c r="I124" s="944"/>
      <c r="J124" s="944"/>
      <c r="K124" s="944"/>
      <c r="L124" s="944"/>
      <c r="M124" s="944"/>
      <c r="N124" s="945"/>
      <c r="O124" s="947">
        <v>4</v>
      </c>
      <c r="P124" s="948"/>
      <c r="Q124" s="948"/>
      <c r="R124" s="949"/>
      <c r="S124" s="931">
        <f>W122</f>
        <v>45957</v>
      </c>
      <c r="T124" s="932"/>
      <c r="U124" s="932"/>
      <c r="V124" s="933"/>
      <c r="W124" s="931">
        <f t="shared" ref="W124" si="11">S124+1</f>
        <v>45958</v>
      </c>
      <c r="X124" s="932"/>
      <c r="Y124" s="932"/>
      <c r="Z124" s="933"/>
      <c r="AA124" s="931"/>
      <c r="AB124" s="932"/>
      <c r="AC124" s="932"/>
      <c r="AD124" s="933"/>
      <c r="AE124" s="931"/>
      <c r="AF124" s="932"/>
      <c r="AG124" s="932"/>
      <c r="AH124" s="932"/>
      <c r="AI124" s="932"/>
      <c r="AJ124" s="933"/>
      <c r="AK124" s="947" t="s">
        <v>430</v>
      </c>
      <c r="AL124" s="948"/>
      <c r="AM124" s="948"/>
      <c r="AN124" s="949"/>
      <c r="AO124" s="963"/>
      <c r="AP124" s="964"/>
      <c r="AQ124" s="964"/>
      <c r="AR124" s="964"/>
      <c r="AS124" s="964"/>
      <c r="AT124" s="965"/>
      <c r="AU124" s="956"/>
      <c r="AV124" s="957"/>
      <c r="AW124" s="957"/>
      <c r="AX124" s="957"/>
      <c r="AY124" s="957"/>
      <c r="AZ124" s="958"/>
    </row>
    <row r="125" spans="1:60">
      <c r="A125" s="991"/>
      <c r="B125" s="205" t="s">
        <v>918</v>
      </c>
      <c r="C125" s="946"/>
      <c r="D125" s="943" t="s">
        <v>919</v>
      </c>
      <c r="E125" s="944"/>
      <c r="F125" s="944"/>
      <c r="G125" s="944"/>
      <c r="H125" s="944"/>
      <c r="I125" s="944"/>
      <c r="J125" s="944"/>
      <c r="K125" s="944"/>
      <c r="L125" s="944"/>
      <c r="M125" s="944"/>
      <c r="N125" s="945"/>
      <c r="O125" s="947">
        <v>4</v>
      </c>
      <c r="P125" s="948"/>
      <c r="Q125" s="948"/>
      <c r="R125" s="949"/>
      <c r="S125" s="953"/>
      <c r="T125" s="954"/>
      <c r="U125" s="954"/>
      <c r="V125" s="955"/>
      <c r="W125" s="953"/>
      <c r="X125" s="954"/>
      <c r="Y125" s="954"/>
      <c r="Z125" s="955"/>
      <c r="AA125" s="953"/>
      <c r="AB125" s="954"/>
      <c r="AC125" s="954"/>
      <c r="AD125" s="955"/>
      <c r="AE125" s="953"/>
      <c r="AF125" s="954"/>
      <c r="AG125" s="954"/>
      <c r="AH125" s="954"/>
      <c r="AI125" s="954"/>
      <c r="AJ125" s="955"/>
      <c r="AK125" s="947" t="s">
        <v>430</v>
      </c>
      <c r="AL125" s="948"/>
      <c r="AM125" s="948"/>
      <c r="AN125" s="949"/>
      <c r="AO125" s="963"/>
      <c r="AP125" s="964"/>
      <c r="AQ125" s="964"/>
      <c r="AR125" s="964"/>
      <c r="AS125" s="964"/>
      <c r="AT125" s="965"/>
      <c r="AU125" s="956"/>
      <c r="AV125" s="957"/>
      <c r="AW125" s="957"/>
      <c r="AX125" s="957"/>
      <c r="AY125" s="957"/>
      <c r="AZ125" s="958"/>
    </row>
    <row r="126" spans="1:60">
      <c r="A126" s="991"/>
      <c r="B126" s="205" t="s">
        <v>920</v>
      </c>
      <c r="C126" s="946"/>
      <c r="D126" s="943" t="s">
        <v>921</v>
      </c>
      <c r="E126" s="944"/>
      <c r="F126" s="944"/>
      <c r="G126" s="944"/>
      <c r="H126" s="944"/>
      <c r="I126" s="944"/>
      <c r="J126" s="944"/>
      <c r="K126" s="944"/>
      <c r="L126" s="944"/>
      <c r="M126" s="944"/>
      <c r="N126" s="945"/>
      <c r="O126" s="947">
        <v>4</v>
      </c>
      <c r="P126" s="948"/>
      <c r="Q126" s="948"/>
      <c r="R126" s="949"/>
      <c r="S126" s="931">
        <f>W124</f>
        <v>45958</v>
      </c>
      <c r="T126" s="932"/>
      <c r="U126" s="932"/>
      <c r="V126" s="933"/>
      <c r="W126" s="931">
        <f t="shared" ref="W126" si="12">S126+1</f>
        <v>45959</v>
      </c>
      <c r="X126" s="932"/>
      <c r="Y126" s="932"/>
      <c r="Z126" s="933"/>
      <c r="AA126" s="931"/>
      <c r="AB126" s="932"/>
      <c r="AC126" s="932"/>
      <c r="AD126" s="933"/>
      <c r="AE126" s="931"/>
      <c r="AF126" s="932"/>
      <c r="AG126" s="932"/>
      <c r="AH126" s="932"/>
      <c r="AI126" s="932"/>
      <c r="AJ126" s="933"/>
      <c r="AK126" s="947" t="s">
        <v>430</v>
      </c>
      <c r="AL126" s="948"/>
      <c r="AM126" s="948"/>
      <c r="AN126" s="949"/>
      <c r="AO126" s="963"/>
      <c r="AP126" s="964"/>
      <c r="AQ126" s="964"/>
      <c r="AR126" s="964"/>
      <c r="AS126" s="964"/>
      <c r="AT126" s="965"/>
      <c r="AU126" s="956"/>
      <c r="AV126" s="957"/>
      <c r="AW126" s="957"/>
      <c r="AX126" s="957"/>
      <c r="AY126" s="957"/>
      <c r="AZ126" s="958"/>
      <c r="BA126" s="207"/>
      <c r="BB126" s="207"/>
      <c r="BC126" s="299"/>
      <c r="BD126" s="304"/>
      <c r="BE126" s="304"/>
      <c r="BF126" s="304"/>
      <c r="BG126" s="304"/>
      <c r="BH126" s="304"/>
    </row>
    <row r="127" spans="1:60">
      <c r="A127" s="991"/>
      <c r="B127" s="205" t="s">
        <v>922</v>
      </c>
      <c r="C127" s="969"/>
      <c r="D127" s="943" t="s">
        <v>923</v>
      </c>
      <c r="E127" s="944"/>
      <c r="F127" s="944"/>
      <c r="G127" s="944"/>
      <c r="H127" s="944"/>
      <c r="I127" s="944"/>
      <c r="J127" s="944"/>
      <c r="K127" s="944"/>
      <c r="L127" s="944"/>
      <c r="M127" s="944"/>
      <c r="N127" s="945"/>
      <c r="O127" s="947">
        <v>4</v>
      </c>
      <c r="P127" s="948"/>
      <c r="Q127" s="948"/>
      <c r="R127" s="949"/>
      <c r="S127" s="953"/>
      <c r="T127" s="954"/>
      <c r="U127" s="954"/>
      <c r="V127" s="955"/>
      <c r="W127" s="953"/>
      <c r="X127" s="954"/>
      <c r="Y127" s="954"/>
      <c r="Z127" s="955"/>
      <c r="AA127" s="953"/>
      <c r="AB127" s="954"/>
      <c r="AC127" s="954"/>
      <c r="AD127" s="955"/>
      <c r="AE127" s="953"/>
      <c r="AF127" s="954"/>
      <c r="AG127" s="954"/>
      <c r="AH127" s="954"/>
      <c r="AI127" s="954"/>
      <c r="AJ127" s="955"/>
      <c r="AK127" s="947" t="s">
        <v>430</v>
      </c>
      <c r="AL127" s="948"/>
      <c r="AM127" s="948"/>
      <c r="AN127" s="949"/>
      <c r="AO127" s="963"/>
      <c r="AP127" s="964"/>
      <c r="AQ127" s="964"/>
      <c r="AR127" s="964"/>
      <c r="AS127" s="964"/>
      <c r="AT127" s="965"/>
      <c r="AU127" s="956"/>
      <c r="AV127" s="957"/>
      <c r="AW127" s="957"/>
      <c r="AX127" s="957"/>
      <c r="AY127" s="957"/>
      <c r="AZ127" s="958"/>
    </row>
    <row r="128" spans="1:60" ht="27.6">
      <c r="A128" s="991"/>
      <c r="B128" s="205" t="s">
        <v>924</v>
      </c>
      <c r="C128" s="206" t="s">
        <v>925</v>
      </c>
      <c r="D128" s="943" t="s">
        <v>926</v>
      </c>
      <c r="E128" s="944"/>
      <c r="F128" s="944"/>
      <c r="G128" s="944"/>
      <c r="H128" s="944"/>
      <c r="I128" s="944"/>
      <c r="J128" s="944"/>
      <c r="K128" s="944"/>
      <c r="L128" s="944"/>
      <c r="M128" s="944"/>
      <c r="N128" s="945"/>
      <c r="O128" s="947">
        <v>4</v>
      </c>
      <c r="P128" s="948"/>
      <c r="Q128" s="948"/>
      <c r="R128" s="949"/>
      <c r="S128" s="931">
        <f>W126</f>
        <v>45959</v>
      </c>
      <c r="T128" s="932"/>
      <c r="U128" s="932"/>
      <c r="V128" s="933"/>
      <c r="W128" s="931">
        <f t="shared" ref="W128" si="13">S128+1</f>
        <v>45960</v>
      </c>
      <c r="X128" s="932"/>
      <c r="Y128" s="932"/>
      <c r="Z128" s="933"/>
      <c r="AA128" s="931"/>
      <c r="AB128" s="932"/>
      <c r="AC128" s="932"/>
      <c r="AD128" s="933"/>
      <c r="AE128" s="931"/>
      <c r="AF128" s="932"/>
      <c r="AG128" s="932"/>
      <c r="AH128" s="932"/>
      <c r="AI128" s="932"/>
      <c r="AJ128" s="932"/>
      <c r="AK128" s="947" t="s">
        <v>430</v>
      </c>
      <c r="AL128" s="948"/>
      <c r="AM128" s="948"/>
      <c r="AN128" s="949"/>
      <c r="AO128" s="963"/>
      <c r="AP128" s="964"/>
      <c r="AQ128" s="964"/>
      <c r="AR128" s="964"/>
      <c r="AS128" s="964"/>
      <c r="AT128" s="965"/>
      <c r="AU128" s="956"/>
      <c r="AV128" s="957"/>
      <c r="AW128" s="957"/>
      <c r="AX128" s="957"/>
      <c r="AY128" s="957"/>
      <c r="AZ128" s="958"/>
    </row>
    <row r="129" spans="1:88" ht="15" customHeight="1">
      <c r="A129" s="991"/>
      <c r="B129" s="205" t="s">
        <v>927</v>
      </c>
      <c r="C129" s="968" t="s">
        <v>928</v>
      </c>
      <c r="D129" s="943" t="s">
        <v>929</v>
      </c>
      <c r="E129" s="944"/>
      <c r="F129" s="944"/>
      <c r="G129" s="944"/>
      <c r="H129" s="944"/>
      <c r="I129" s="944"/>
      <c r="J129" s="944"/>
      <c r="K129" s="944"/>
      <c r="L129" s="944"/>
      <c r="M129" s="944"/>
      <c r="N129" s="945"/>
      <c r="O129" s="947">
        <v>4</v>
      </c>
      <c r="P129" s="948"/>
      <c r="Q129" s="948"/>
      <c r="R129" s="949"/>
      <c r="S129" s="953"/>
      <c r="T129" s="954"/>
      <c r="U129" s="954"/>
      <c r="V129" s="955"/>
      <c r="W129" s="953"/>
      <c r="X129" s="954"/>
      <c r="Y129" s="954"/>
      <c r="Z129" s="955"/>
      <c r="AA129" s="953"/>
      <c r="AB129" s="954"/>
      <c r="AC129" s="954"/>
      <c r="AD129" s="955"/>
      <c r="AE129" s="940"/>
      <c r="AF129" s="941"/>
      <c r="AG129" s="941"/>
      <c r="AH129" s="941"/>
      <c r="AI129" s="941"/>
      <c r="AJ129" s="941"/>
      <c r="AK129" s="947" t="s">
        <v>430</v>
      </c>
      <c r="AL129" s="948"/>
      <c r="AM129" s="948"/>
      <c r="AN129" s="949"/>
      <c r="AO129" s="963"/>
      <c r="AP129" s="964"/>
      <c r="AQ129" s="964"/>
      <c r="AR129" s="964"/>
      <c r="AS129" s="964"/>
      <c r="AT129" s="965"/>
      <c r="AU129" s="956"/>
      <c r="AV129" s="957"/>
      <c r="AW129" s="957"/>
      <c r="AX129" s="957"/>
      <c r="AY129" s="957"/>
      <c r="AZ129" s="958"/>
    </row>
    <row r="130" spans="1:88">
      <c r="A130" s="991"/>
      <c r="B130" s="205" t="s">
        <v>930</v>
      </c>
      <c r="C130" s="946"/>
      <c r="D130" s="943" t="s">
        <v>931</v>
      </c>
      <c r="E130" s="944"/>
      <c r="F130" s="944"/>
      <c r="G130" s="944"/>
      <c r="H130" s="944"/>
      <c r="I130" s="944"/>
      <c r="J130" s="944"/>
      <c r="K130" s="944"/>
      <c r="L130" s="944"/>
      <c r="M130" s="944"/>
      <c r="N130" s="945"/>
      <c r="O130" s="947">
        <v>4</v>
      </c>
      <c r="P130" s="948"/>
      <c r="Q130" s="948"/>
      <c r="R130" s="949"/>
      <c r="S130" s="931">
        <f>W128+2</f>
        <v>45962</v>
      </c>
      <c r="T130" s="932"/>
      <c r="U130" s="932"/>
      <c r="V130" s="933"/>
      <c r="W130" s="931">
        <f t="shared" ref="W130" si="14">S130+1</f>
        <v>45963</v>
      </c>
      <c r="X130" s="932"/>
      <c r="Y130" s="932"/>
      <c r="Z130" s="933"/>
      <c r="AA130" s="931"/>
      <c r="AB130" s="932"/>
      <c r="AC130" s="932"/>
      <c r="AD130" s="933"/>
      <c r="AE130" s="940"/>
      <c r="AF130" s="941"/>
      <c r="AG130" s="941"/>
      <c r="AH130" s="941"/>
      <c r="AI130" s="941"/>
      <c r="AJ130" s="941"/>
      <c r="AK130" s="947" t="s">
        <v>430</v>
      </c>
      <c r="AL130" s="948"/>
      <c r="AM130" s="948"/>
      <c r="AN130" s="949"/>
      <c r="AO130" s="963"/>
      <c r="AP130" s="964"/>
      <c r="AQ130" s="964"/>
      <c r="AR130" s="964"/>
      <c r="AS130" s="964"/>
      <c r="AT130" s="965"/>
      <c r="AU130" s="956"/>
      <c r="AV130" s="957"/>
      <c r="AW130" s="957"/>
      <c r="AX130" s="957"/>
      <c r="AY130" s="957"/>
      <c r="AZ130" s="958"/>
    </row>
    <row r="131" spans="1:88">
      <c r="A131" s="991"/>
      <c r="B131" s="205" t="s">
        <v>932</v>
      </c>
      <c r="C131" s="969"/>
      <c r="D131" s="943" t="s">
        <v>933</v>
      </c>
      <c r="E131" s="944"/>
      <c r="F131" s="944"/>
      <c r="G131" s="944"/>
      <c r="H131" s="944"/>
      <c r="I131" s="944"/>
      <c r="J131" s="944"/>
      <c r="K131" s="944"/>
      <c r="L131" s="944"/>
      <c r="M131" s="944"/>
      <c r="N131" s="945"/>
      <c r="O131" s="947">
        <v>4</v>
      </c>
      <c r="P131" s="948"/>
      <c r="Q131" s="948"/>
      <c r="R131" s="949"/>
      <c r="S131" s="953"/>
      <c r="T131" s="954"/>
      <c r="U131" s="954"/>
      <c r="V131" s="955"/>
      <c r="W131" s="953"/>
      <c r="X131" s="954"/>
      <c r="Y131" s="954"/>
      <c r="Z131" s="955"/>
      <c r="AA131" s="953"/>
      <c r="AB131" s="954"/>
      <c r="AC131" s="954"/>
      <c r="AD131" s="955"/>
      <c r="AE131" s="940"/>
      <c r="AF131" s="941"/>
      <c r="AG131" s="941"/>
      <c r="AH131" s="941"/>
      <c r="AI131" s="941"/>
      <c r="AJ131" s="941"/>
      <c r="AK131" s="947" t="s">
        <v>430</v>
      </c>
      <c r="AL131" s="948"/>
      <c r="AM131" s="948"/>
      <c r="AN131" s="949"/>
      <c r="AO131" s="963"/>
      <c r="AP131" s="964"/>
      <c r="AQ131" s="964"/>
      <c r="AR131" s="964"/>
      <c r="AS131" s="964"/>
      <c r="AT131" s="965"/>
      <c r="AU131" s="956"/>
      <c r="AV131" s="957"/>
      <c r="AW131" s="957"/>
      <c r="AX131" s="957"/>
      <c r="AY131" s="957"/>
      <c r="AZ131" s="958"/>
    </row>
    <row r="132" spans="1:88">
      <c r="A132" s="991"/>
      <c r="B132" s="205" t="s">
        <v>934</v>
      </c>
      <c r="C132" s="968" t="s">
        <v>935</v>
      </c>
      <c r="D132" s="943" t="s">
        <v>936</v>
      </c>
      <c r="E132" s="944"/>
      <c r="F132" s="944"/>
      <c r="G132" s="944"/>
      <c r="H132" s="944"/>
      <c r="I132" s="944"/>
      <c r="J132" s="944"/>
      <c r="K132" s="944"/>
      <c r="L132" s="944"/>
      <c r="M132" s="944"/>
      <c r="N132" s="945"/>
      <c r="O132" s="947">
        <v>4</v>
      </c>
      <c r="P132" s="948"/>
      <c r="Q132" s="948"/>
      <c r="R132" s="949"/>
      <c r="S132" s="931">
        <f>W130</f>
        <v>45963</v>
      </c>
      <c r="T132" s="932"/>
      <c r="U132" s="932"/>
      <c r="V132" s="933"/>
      <c r="W132" s="931">
        <f t="shared" ref="W132" si="15">S132+1</f>
        <v>45964</v>
      </c>
      <c r="X132" s="932"/>
      <c r="Y132" s="932"/>
      <c r="Z132" s="933"/>
      <c r="AA132" s="931"/>
      <c r="AB132" s="932"/>
      <c r="AC132" s="932"/>
      <c r="AD132" s="933"/>
      <c r="AE132" s="940"/>
      <c r="AF132" s="941"/>
      <c r="AG132" s="941"/>
      <c r="AH132" s="941"/>
      <c r="AI132" s="941"/>
      <c r="AJ132" s="941"/>
      <c r="AK132" s="947" t="s">
        <v>430</v>
      </c>
      <c r="AL132" s="948"/>
      <c r="AM132" s="948"/>
      <c r="AN132" s="949"/>
      <c r="AO132" s="963"/>
      <c r="AP132" s="964"/>
      <c r="AQ132" s="964"/>
      <c r="AR132" s="964"/>
      <c r="AS132" s="964"/>
      <c r="AT132" s="965"/>
      <c r="AU132" s="956"/>
      <c r="AV132" s="957"/>
      <c r="AW132" s="957"/>
      <c r="AX132" s="957"/>
      <c r="AY132" s="957"/>
      <c r="AZ132" s="958"/>
    </row>
    <row r="133" spans="1:88">
      <c r="A133" s="991"/>
      <c r="B133" s="205" t="s">
        <v>937</v>
      </c>
      <c r="C133" s="969"/>
      <c r="D133" s="943" t="s">
        <v>938</v>
      </c>
      <c r="E133" s="944"/>
      <c r="F133" s="944"/>
      <c r="G133" s="944"/>
      <c r="H133" s="944"/>
      <c r="I133" s="944"/>
      <c r="J133" s="944"/>
      <c r="K133" s="944"/>
      <c r="L133" s="944"/>
      <c r="M133" s="944"/>
      <c r="N133" s="945"/>
      <c r="O133" s="947">
        <v>4</v>
      </c>
      <c r="P133" s="948"/>
      <c r="Q133" s="948"/>
      <c r="R133" s="949"/>
      <c r="S133" s="953"/>
      <c r="T133" s="954"/>
      <c r="U133" s="954"/>
      <c r="V133" s="955"/>
      <c r="W133" s="953"/>
      <c r="X133" s="954"/>
      <c r="Y133" s="954"/>
      <c r="Z133" s="955"/>
      <c r="AA133" s="953"/>
      <c r="AB133" s="954"/>
      <c r="AC133" s="954"/>
      <c r="AD133" s="955"/>
      <c r="AE133" s="940"/>
      <c r="AF133" s="941"/>
      <c r="AG133" s="941"/>
      <c r="AH133" s="941"/>
      <c r="AI133" s="941"/>
      <c r="AJ133" s="941"/>
      <c r="AK133" s="947" t="s">
        <v>430</v>
      </c>
      <c r="AL133" s="948"/>
      <c r="AM133" s="948"/>
      <c r="AN133" s="949"/>
      <c r="AO133" s="963"/>
      <c r="AP133" s="964"/>
      <c r="AQ133" s="964"/>
      <c r="AR133" s="964"/>
      <c r="AS133" s="964"/>
      <c r="AT133" s="965"/>
      <c r="AU133" s="956"/>
      <c r="AV133" s="957"/>
      <c r="AW133" s="957"/>
      <c r="AX133" s="957"/>
      <c r="AY133" s="957"/>
      <c r="AZ133" s="958"/>
    </row>
    <row r="134" spans="1:88">
      <c r="A134" s="991"/>
      <c r="B134" s="205" t="s">
        <v>939</v>
      </c>
      <c r="C134" s="968" t="s">
        <v>940</v>
      </c>
      <c r="D134" s="943" t="s">
        <v>941</v>
      </c>
      <c r="E134" s="944"/>
      <c r="F134" s="944"/>
      <c r="G134" s="944"/>
      <c r="H134" s="944"/>
      <c r="I134" s="944"/>
      <c r="J134" s="944"/>
      <c r="K134" s="944"/>
      <c r="L134" s="944"/>
      <c r="M134" s="944"/>
      <c r="N134" s="945"/>
      <c r="O134" s="947">
        <v>4</v>
      </c>
      <c r="P134" s="948"/>
      <c r="Q134" s="948"/>
      <c r="R134" s="949"/>
      <c r="S134" s="931">
        <f>W132</f>
        <v>45964</v>
      </c>
      <c r="T134" s="932"/>
      <c r="U134" s="932"/>
      <c r="V134" s="933"/>
      <c r="W134" s="931">
        <f t="shared" ref="W134" si="16">S134+1</f>
        <v>45965</v>
      </c>
      <c r="X134" s="932"/>
      <c r="Y134" s="932"/>
      <c r="Z134" s="933"/>
      <c r="AA134" s="931"/>
      <c r="AB134" s="932"/>
      <c r="AC134" s="932"/>
      <c r="AD134" s="933"/>
      <c r="AE134" s="940"/>
      <c r="AF134" s="941"/>
      <c r="AG134" s="941"/>
      <c r="AH134" s="941"/>
      <c r="AI134" s="941"/>
      <c r="AJ134" s="941"/>
      <c r="AK134" s="947" t="s">
        <v>430</v>
      </c>
      <c r="AL134" s="948"/>
      <c r="AM134" s="948"/>
      <c r="AN134" s="949"/>
      <c r="AO134" s="963"/>
      <c r="AP134" s="964"/>
      <c r="AQ134" s="964"/>
      <c r="AR134" s="964"/>
      <c r="AS134" s="964"/>
      <c r="AT134" s="965"/>
      <c r="AU134" s="956"/>
      <c r="AV134" s="957"/>
      <c r="AW134" s="957"/>
      <c r="AX134" s="957"/>
      <c r="AY134" s="957"/>
      <c r="AZ134" s="958"/>
    </row>
    <row r="135" spans="1:88">
      <c r="A135" s="991"/>
      <c r="B135" s="205" t="s">
        <v>942</v>
      </c>
      <c r="C135" s="969"/>
      <c r="D135" s="943" t="s">
        <v>943</v>
      </c>
      <c r="E135" s="944"/>
      <c r="F135" s="944"/>
      <c r="G135" s="944"/>
      <c r="H135" s="944"/>
      <c r="I135" s="944"/>
      <c r="J135" s="944"/>
      <c r="K135" s="944"/>
      <c r="L135" s="944"/>
      <c r="M135" s="944"/>
      <c r="N135" s="945"/>
      <c r="O135" s="947">
        <v>4</v>
      </c>
      <c r="P135" s="948"/>
      <c r="Q135" s="948"/>
      <c r="R135" s="949"/>
      <c r="S135" s="953"/>
      <c r="T135" s="954"/>
      <c r="U135" s="954"/>
      <c r="V135" s="955"/>
      <c r="W135" s="953"/>
      <c r="X135" s="954"/>
      <c r="Y135" s="954"/>
      <c r="Z135" s="955"/>
      <c r="AA135" s="953"/>
      <c r="AB135" s="954"/>
      <c r="AC135" s="954"/>
      <c r="AD135" s="955"/>
      <c r="AE135" s="940"/>
      <c r="AF135" s="941"/>
      <c r="AG135" s="941"/>
      <c r="AH135" s="941"/>
      <c r="AI135" s="941"/>
      <c r="AJ135" s="941"/>
      <c r="AK135" s="947" t="s">
        <v>430</v>
      </c>
      <c r="AL135" s="948"/>
      <c r="AM135" s="948"/>
      <c r="AN135" s="949"/>
      <c r="AO135" s="963"/>
      <c r="AP135" s="964"/>
      <c r="AQ135" s="964"/>
      <c r="AR135" s="964"/>
      <c r="AS135" s="964"/>
      <c r="AT135" s="965"/>
      <c r="AU135" s="956"/>
      <c r="AV135" s="957"/>
      <c r="AW135" s="957"/>
      <c r="AX135" s="957"/>
      <c r="AY135" s="957"/>
      <c r="AZ135" s="958"/>
    </row>
    <row r="136" spans="1:88" ht="18" customHeight="1">
      <c r="A136" s="991"/>
      <c r="B136" s="205" t="s">
        <v>944</v>
      </c>
      <c r="C136" s="968" t="s">
        <v>945</v>
      </c>
      <c r="D136" s="943" t="s">
        <v>946</v>
      </c>
      <c r="E136" s="944"/>
      <c r="F136" s="944"/>
      <c r="G136" s="944"/>
      <c r="H136" s="944"/>
      <c r="I136" s="944"/>
      <c r="J136" s="944"/>
      <c r="K136" s="944"/>
      <c r="L136" s="944"/>
      <c r="M136" s="944"/>
      <c r="N136" s="945"/>
      <c r="O136" s="947">
        <v>4</v>
      </c>
      <c r="P136" s="948"/>
      <c r="Q136" s="948"/>
      <c r="R136" s="949"/>
      <c r="S136" s="931">
        <f>W134+1</f>
        <v>45966</v>
      </c>
      <c r="T136" s="932"/>
      <c r="U136" s="932"/>
      <c r="V136" s="933"/>
      <c r="W136" s="931">
        <f t="shared" ref="W136" si="17">S136+1</f>
        <v>45967</v>
      </c>
      <c r="X136" s="932"/>
      <c r="Y136" s="932"/>
      <c r="Z136" s="933"/>
      <c r="AA136" s="931"/>
      <c r="AB136" s="932"/>
      <c r="AC136" s="932"/>
      <c r="AD136" s="933"/>
      <c r="AE136" s="940"/>
      <c r="AF136" s="941"/>
      <c r="AG136" s="941"/>
      <c r="AH136" s="941"/>
      <c r="AI136" s="941"/>
      <c r="AJ136" s="941"/>
      <c r="AK136" s="947" t="s">
        <v>430</v>
      </c>
      <c r="AL136" s="948"/>
      <c r="AM136" s="948"/>
      <c r="AN136" s="949"/>
      <c r="AO136" s="963"/>
      <c r="AP136" s="964"/>
      <c r="AQ136" s="964"/>
      <c r="AR136" s="964"/>
      <c r="AS136" s="964"/>
      <c r="AT136" s="965"/>
      <c r="AU136" s="956"/>
      <c r="AV136" s="957"/>
      <c r="AW136" s="957"/>
      <c r="AX136" s="957"/>
      <c r="AY136" s="957"/>
      <c r="AZ136" s="958"/>
    </row>
    <row r="137" spans="1:88" ht="18" customHeight="1">
      <c r="A137" s="991"/>
      <c r="B137" s="205" t="s">
        <v>947</v>
      </c>
      <c r="C137" s="946"/>
      <c r="D137" s="943" t="s">
        <v>948</v>
      </c>
      <c r="E137" s="944"/>
      <c r="F137" s="944"/>
      <c r="G137" s="944"/>
      <c r="H137" s="944"/>
      <c r="I137" s="944"/>
      <c r="J137" s="944"/>
      <c r="K137" s="944"/>
      <c r="L137" s="944"/>
      <c r="M137" s="944"/>
      <c r="N137" s="945"/>
      <c r="O137" s="947">
        <v>4</v>
      </c>
      <c r="P137" s="948"/>
      <c r="Q137" s="948"/>
      <c r="R137" s="949"/>
      <c r="S137" s="953"/>
      <c r="T137" s="954"/>
      <c r="U137" s="954"/>
      <c r="V137" s="955"/>
      <c r="W137" s="953"/>
      <c r="X137" s="954"/>
      <c r="Y137" s="954"/>
      <c r="Z137" s="955"/>
      <c r="AA137" s="953"/>
      <c r="AB137" s="954"/>
      <c r="AC137" s="954"/>
      <c r="AD137" s="955"/>
      <c r="AE137" s="940"/>
      <c r="AF137" s="941"/>
      <c r="AG137" s="941"/>
      <c r="AH137" s="941"/>
      <c r="AI137" s="941"/>
      <c r="AJ137" s="941"/>
      <c r="AK137" s="947" t="s">
        <v>430</v>
      </c>
      <c r="AL137" s="948"/>
      <c r="AM137" s="948"/>
      <c r="AN137" s="949"/>
      <c r="AO137" s="963"/>
      <c r="AP137" s="964"/>
      <c r="AQ137" s="964"/>
      <c r="AR137" s="964"/>
      <c r="AS137" s="964"/>
      <c r="AT137" s="965"/>
      <c r="AU137" s="956"/>
      <c r="AV137" s="957"/>
      <c r="AW137" s="957"/>
      <c r="AX137" s="957"/>
      <c r="AY137" s="957"/>
      <c r="AZ137" s="958"/>
    </row>
    <row r="138" spans="1:88" ht="18" customHeight="1">
      <c r="A138" s="991"/>
      <c r="B138" s="205" t="s">
        <v>949</v>
      </c>
      <c r="C138" s="946"/>
      <c r="D138" s="943" t="s">
        <v>950</v>
      </c>
      <c r="E138" s="944"/>
      <c r="F138" s="944"/>
      <c r="G138" s="944"/>
      <c r="H138" s="944"/>
      <c r="I138" s="944"/>
      <c r="J138" s="944"/>
      <c r="K138" s="944"/>
      <c r="L138" s="944"/>
      <c r="M138" s="944"/>
      <c r="N138" s="945"/>
      <c r="O138" s="947">
        <v>4</v>
      </c>
      <c r="P138" s="948"/>
      <c r="Q138" s="948"/>
      <c r="R138" s="949"/>
      <c r="S138" s="931">
        <f>W136+3</f>
        <v>45970</v>
      </c>
      <c r="T138" s="932"/>
      <c r="U138" s="932"/>
      <c r="V138" s="933"/>
      <c r="W138" s="931">
        <f t="shared" ref="W138" si="18">S138+1</f>
        <v>45971</v>
      </c>
      <c r="X138" s="932"/>
      <c r="Y138" s="932"/>
      <c r="Z138" s="933"/>
      <c r="AA138" s="931"/>
      <c r="AB138" s="932"/>
      <c r="AC138" s="932"/>
      <c r="AD138" s="933"/>
      <c r="AE138" s="940"/>
      <c r="AF138" s="941"/>
      <c r="AG138" s="941"/>
      <c r="AH138" s="941"/>
      <c r="AI138" s="941"/>
      <c r="AJ138" s="941"/>
      <c r="AK138" s="947" t="s">
        <v>430</v>
      </c>
      <c r="AL138" s="948"/>
      <c r="AM138" s="948"/>
      <c r="AN138" s="949"/>
      <c r="AO138" s="963"/>
      <c r="AP138" s="964"/>
      <c r="AQ138" s="964"/>
      <c r="AR138" s="964"/>
      <c r="AS138" s="964"/>
      <c r="AT138" s="965"/>
      <c r="AU138" s="956"/>
      <c r="AV138" s="957"/>
      <c r="AW138" s="957"/>
      <c r="AX138" s="957"/>
      <c r="AY138" s="957"/>
      <c r="AZ138" s="958"/>
    </row>
    <row r="139" spans="1:88" ht="18" customHeight="1">
      <c r="A139" s="991"/>
      <c r="B139" s="205" t="s">
        <v>951</v>
      </c>
      <c r="C139" s="946"/>
      <c r="D139" s="943" t="s">
        <v>952</v>
      </c>
      <c r="E139" s="944"/>
      <c r="F139" s="944"/>
      <c r="G139" s="944"/>
      <c r="H139" s="944"/>
      <c r="I139" s="944"/>
      <c r="J139" s="944"/>
      <c r="K139" s="944"/>
      <c r="L139" s="944"/>
      <c r="M139" s="944"/>
      <c r="N139" s="945"/>
      <c r="O139" s="947">
        <v>4</v>
      </c>
      <c r="P139" s="948"/>
      <c r="Q139" s="948"/>
      <c r="R139" s="949"/>
      <c r="S139" s="953"/>
      <c r="T139" s="954"/>
      <c r="U139" s="954"/>
      <c r="V139" s="955"/>
      <c r="W139" s="953"/>
      <c r="X139" s="954"/>
      <c r="Y139" s="954"/>
      <c r="Z139" s="955"/>
      <c r="AA139" s="953"/>
      <c r="AB139" s="954"/>
      <c r="AC139" s="954"/>
      <c r="AD139" s="955"/>
      <c r="AE139" s="940"/>
      <c r="AF139" s="941"/>
      <c r="AG139" s="941"/>
      <c r="AH139" s="941"/>
      <c r="AI139" s="941"/>
      <c r="AJ139" s="941"/>
      <c r="AK139" s="947" t="s">
        <v>430</v>
      </c>
      <c r="AL139" s="948"/>
      <c r="AM139" s="948"/>
      <c r="AN139" s="949"/>
      <c r="AO139" s="963"/>
      <c r="AP139" s="964"/>
      <c r="AQ139" s="964"/>
      <c r="AR139" s="964"/>
      <c r="AS139" s="964"/>
      <c r="AT139" s="965"/>
      <c r="AU139" s="956"/>
      <c r="AV139" s="957"/>
      <c r="AW139" s="957"/>
      <c r="AX139" s="957"/>
      <c r="AY139" s="957"/>
      <c r="AZ139" s="958"/>
    </row>
    <row r="140" spans="1:88" ht="18" customHeight="1">
      <c r="A140" s="991"/>
      <c r="B140" s="205" t="s">
        <v>953</v>
      </c>
      <c r="C140" s="946" t="s">
        <v>426</v>
      </c>
      <c r="D140" s="295" t="s">
        <v>301</v>
      </c>
      <c r="E140" s="296"/>
      <c r="F140" s="296"/>
      <c r="G140" s="296"/>
      <c r="H140" s="296"/>
      <c r="I140" s="296"/>
      <c r="J140" s="296"/>
      <c r="K140" s="296"/>
      <c r="L140" s="296"/>
      <c r="M140" s="296"/>
      <c r="N140" s="297"/>
      <c r="O140" s="937">
        <v>2</v>
      </c>
      <c r="P140" s="938"/>
      <c r="Q140" s="938"/>
      <c r="R140" s="939"/>
      <c r="S140" s="931">
        <f>W138</f>
        <v>45971</v>
      </c>
      <c r="T140" s="932"/>
      <c r="U140" s="932"/>
      <c r="V140" s="933"/>
      <c r="W140" s="931">
        <f t="shared" ref="W140" si="19">S140+1</f>
        <v>45972</v>
      </c>
      <c r="X140" s="932"/>
      <c r="Y140" s="932"/>
      <c r="Z140" s="933"/>
      <c r="AA140" s="931"/>
      <c r="AB140" s="932"/>
      <c r="AC140" s="932"/>
      <c r="AD140" s="933"/>
      <c r="AE140" s="940"/>
      <c r="AF140" s="941"/>
      <c r="AG140" s="941"/>
      <c r="AH140" s="941"/>
      <c r="AI140" s="941"/>
      <c r="AJ140" s="941"/>
      <c r="AK140" s="947" t="s">
        <v>430</v>
      </c>
      <c r="AL140" s="948"/>
      <c r="AM140" s="948"/>
      <c r="AN140" s="949"/>
      <c r="AO140" s="963"/>
      <c r="AP140" s="964"/>
      <c r="AQ140" s="964"/>
      <c r="AR140" s="964"/>
      <c r="AS140" s="964"/>
      <c r="AT140" s="965"/>
      <c r="AU140" s="956"/>
      <c r="AV140" s="957"/>
      <c r="AW140" s="957"/>
      <c r="AX140" s="957"/>
      <c r="AY140" s="957"/>
      <c r="AZ140" s="958"/>
    </row>
    <row r="141" spans="1:88">
      <c r="A141" s="992"/>
      <c r="B141" s="205" t="s">
        <v>954</v>
      </c>
      <c r="C141" s="969"/>
      <c r="D141" s="295" t="s">
        <v>780</v>
      </c>
      <c r="E141" s="296"/>
      <c r="F141" s="296"/>
      <c r="G141" s="296"/>
      <c r="H141" s="296"/>
      <c r="I141" s="296"/>
      <c r="J141" s="296"/>
      <c r="K141" s="296"/>
      <c r="L141" s="296"/>
      <c r="M141" s="296"/>
      <c r="N141" s="297"/>
      <c r="O141" s="937">
        <v>6</v>
      </c>
      <c r="P141" s="938"/>
      <c r="Q141" s="938"/>
      <c r="R141" s="939"/>
      <c r="S141" s="953"/>
      <c r="T141" s="954"/>
      <c r="U141" s="954"/>
      <c r="V141" s="955"/>
      <c r="W141" s="953"/>
      <c r="X141" s="954"/>
      <c r="Y141" s="954"/>
      <c r="Z141" s="955"/>
      <c r="AA141" s="953"/>
      <c r="AB141" s="954"/>
      <c r="AC141" s="954"/>
      <c r="AD141" s="955"/>
      <c r="AE141" s="940"/>
      <c r="AF141" s="941"/>
      <c r="AG141" s="941"/>
      <c r="AH141" s="941"/>
      <c r="AI141" s="941"/>
      <c r="AJ141" s="941"/>
      <c r="AK141" s="947" t="s">
        <v>430</v>
      </c>
      <c r="AL141" s="948"/>
      <c r="AM141" s="948"/>
      <c r="AN141" s="949"/>
      <c r="AO141" s="963"/>
      <c r="AP141" s="964"/>
      <c r="AQ141" s="964"/>
      <c r="AR141" s="964"/>
      <c r="AS141" s="964"/>
      <c r="AT141" s="965"/>
      <c r="AU141" s="956"/>
      <c r="AV141" s="957"/>
      <c r="AW141" s="957"/>
      <c r="AX141" s="957"/>
      <c r="AY141" s="957"/>
      <c r="AZ141" s="958"/>
    </row>
    <row r="142" spans="1:88">
      <c r="A142" s="983" t="s">
        <v>955</v>
      </c>
      <c r="B142" s="984"/>
      <c r="C142" s="984"/>
      <c r="D142" s="984"/>
      <c r="E142" s="984"/>
      <c r="F142" s="984"/>
      <c r="G142" s="984"/>
      <c r="H142" s="984"/>
      <c r="I142" s="984"/>
      <c r="J142" s="984"/>
      <c r="K142" s="984"/>
      <c r="L142" s="984"/>
      <c r="M142" s="984"/>
      <c r="N142" s="984"/>
      <c r="O142" s="984"/>
      <c r="P142" s="984"/>
      <c r="Q142" s="984"/>
      <c r="R142" s="984"/>
      <c r="S142" s="984"/>
      <c r="T142" s="984"/>
      <c r="U142" s="984"/>
      <c r="V142" s="984"/>
      <c r="W142" s="984"/>
      <c r="X142" s="984"/>
      <c r="Y142" s="984"/>
      <c r="Z142" s="984"/>
      <c r="AA142" s="984"/>
      <c r="AB142" s="984"/>
      <c r="AC142" s="984"/>
      <c r="AD142" s="984"/>
      <c r="AE142" s="984"/>
      <c r="AF142" s="984"/>
      <c r="AG142" s="984"/>
      <c r="AH142" s="984"/>
      <c r="AI142" s="984"/>
      <c r="AJ142" s="984"/>
      <c r="AK142" s="984"/>
      <c r="AL142" s="984"/>
      <c r="AM142" s="984"/>
      <c r="AN142" s="984"/>
      <c r="AO142" s="984"/>
      <c r="AP142" s="984"/>
      <c r="AQ142" s="984"/>
      <c r="AR142" s="984"/>
      <c r="AS142" s="984"/>
      <c r="AT142" s="984"/>
      <c r="AU142" s="984"/>
      <c r="AV142" s="984"/>
      <c r="AW142" s="984"/>
      <c r="AX142" s="984"/>
      <c r="AY142" s="984"/>
      <c r="AZ142" s="984"/>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row>
    <row r="143" spans="1:88">
      <c r="A143" s="990">
        <v>7</v>
      </c>
      <c r="B143" s="205">
        <v>135</v>
      </c>
      <c r="C143" s="980" t="s">
        <v>647</v>
      </c>
      <c r="D143" s="943" t="s">
        <v>956</v>
      </c>
      <c r="E143" s="944"/>
      <c r="F143" s="944"/>
      <c r="G143" s="944"/>
      <c r="H143" s="944"/>
      <c r="I143" s="944"/>
      <c r="J143" s="944"/>
      <c r="K143" s="944"/>
      <c r="L143" s="944"/>
      <c r="M143" s="944"/>
      <c r="N143" s="945"/>
      <c r="O143" s="947">
        <v>4</v>
      </c>
      <c r="P143" s="948"/>
      <c r="Q143" s="948"/>
      <c r="R143" s="949"/>
      <c r="S143" s="959">
        <f>W140</f>
        <v>45972</v>
      </c>
      <c r="T143" s="960"/>
      <c r="U143" s="960"/>
      <c r="V143" s="960"/>
      <c r="W143" s="959">
        <f>S143+1</f>
        <v>45973</v>
      </c>
      <c r="X143" s="960"/>
      <c r="Y143" s="960"/>
      <c r="Z143" s="960"/>
      <c r="AA143" s="959"/>
      <c r="AB143" s="960"/>
      <c r="AC143" s="960"/>
      <c r="AD143" s="960"/>
      <c r="AE143" s="959"/>
      <c r="AF143" s="972"/>
      <c r="AG143" s="972"/>
      <c r="AH143" s="972"/>
      <c r="AI143" s="972"/>
      <c r="AJ143" s="973"/>
      <c r="AK143" s="947" t="s">
        <v>430</v>
      </c>
      <c r="AL143" s="948"/>
      <c r="AM143" s="948"/>
      <c r="AN143" s="949"/>
      <c r="AO143" s="963"/>
      <c r="AP143" s="964"/>
      <c r="AQ143" s="964"/>
      <c r="AR143" s="964"/>
      <c r="AS143" s="964"/>
      <c r="AT143" s="965"/>
      <c r="AU143" s="956"/>
      <c r="AV143" s="957"/>
      <c r="AW143" s="957"/>
      <c r="AX143" s="957"/>
      <c r="AY143" s="957"/>
      <c r="AZ143" s="958"/>
    </row>
    <row r="144" spans="1:88">
      <c r="A144" s="991"/>
      <c r="B144" s="205">
        <v>136</v>
      </c>
      <c r="C144" s="981"/>
      <c r="D144" s="943" t="s">
        <v>957</v>
      </c>
      <c r="E144" s="944"/>
      <c r="F144" s="944"/>
      <c r="G144" s="944"/>
      <c r="H144" s="944"/>
      <c r="I144" s="944"/>
      <c r="J144" s="944"/>
      <c r="K144" s="944"/>
      <c r="L144" s="944"/>
      <c r="M144" s="944"/>
      <c r="N144" s="945"/>
      <c r="O144" s="947">
        <v>4</v>
      </c>
      <c r="P144" s="948"/>
      <c r="Q144" s="948"/>
      <c r="R144" s="949"/>
      <c r="S144" s="961"/>
      <c r="T144" s="962"/>
      <c r="U144" s="962"/>
      <c r="V144" s="962"/>
      <c r="W144" s="961"/>
      <c r="X144" s="962"/>
      <c r="Y144" s="962"/>
      <c r="Z144" s="962"/>
      <c r="AA144" s="961"/>
      <c r="AB144" s="962"/>
      <c r="AC144" s="962"/>
      <c r="AD144" s="962"/>
      <c r="AE144" s="974"/>
      <c r="AF144" s="975"/>
      <c r="AG144" s="975"/>
      <c r="AH144" s="975"/>
      <c r="AI144" s="975"/>
      <c r="AJ144" s="976"/>
      <c r="AK144" s="947" t="s">
        <v>430</v>
      </c>
      <c r="AL144" s="948"/>
      <c r="AM144" s="948"/>
      <c r="AN144" s="949"/>
      <c r="AO144" s="963"/>
      <c r="AP144" s="964"/>
      <c r="AQ144" s="964"/>
      <c r="AR144" s="964"/>
      <c r="AS144" s="964"/>
      <c r="AT144" s="965"/>
      <c r="AU144" s="956"/>
      <c r="AV144" s="957"/>
      <c r="AW144" s="957"/>
      <c r="AX144" s="957"/>
      <c r="AY144" s="957"/>
      <c r="AZ144" s="958"/>
    </row>
    <row r="145" spans="1:88">
      <c r="A145" s="991"/>
      <c r="B145" s="205">
        <v>137</v>
      </c>
      <c r="C145" s="980" t="s">
        <v>262</v>
      </c>
      <c r="D145" s="943" t="s">
        <v>958</v>
      </c>
      <c r="E145" s="944"/>
      <c r="F145" s="944"/>
      <c r="G145" s="944"/>
      <c r="H145" s="944"/>
      <c r="I145" s="944"/>
      <c r="J145" s="944"/>
      <c r="K145" s="944"/>
      <c r="L145" s="944"/>
      <c r="M145" s="944"/>
      <c r="N145" s="945"/>
      <c r="O145" s="947">
        <v>4</v>
      </c>
      <c r="P145" s="948"/>
      <c r="Q145" s="948"/>
      <c r="R145" s="949"/>
      <c r="S145" s="959">
        <f>W143</f>
        <v>45973</v>
      </c>
      <c r="T145" s="960"/>
      <c r="U145" s="960"/>
      <c r="V145" s="960"/>
      <c r="W145" s="959">
        <f t="shared" ref="W145" si="20">S145+1</f>
        <v>45974</v>
      </c>
      <c r="X145" s="960"/>
      <c r="Y145" s="960"/>
      <c r="Z145" s="960"/>
      <c r="AA145" s="959"/>
      <c r="AB145" s="960"/>
      <c r="AC145" s="960"/>
      <c r="AD145" s="960"/>
      <c r="AE145" s="959"/>
      <c r="AF145" s="972"/>
      <c r="AG145" s="972"/>
      <c r="AH145" s="972"/>
      <c r="AI145" s="972"/>
      <c r="AJ145" s="973"/>
      <c r="AK145" s="947" t="s">
        <v>430</v>
      </c>
      <c r="AL145" s="948"/>
      <c r="AM145" s="948"/>
      <c r="AN145" s="949"/>
      <c r="AO145" s="963"/>
      <c r="AP145" s="964"/>
      <c r="AQ145" s="964"/>
      <c r="AR145" s="964"/>
      <c r="AS145" s="964"/>
      <c r="AT145" s="965"/>
      <c r="AU145" s="956"/>
      <c r="AV145" s="957"/>
      <c r="AW145" s="957"/>
      <c r="AX145" s="957"/>
      <c r="AY145" s="957"/>
      <c r="AZ145" s="958"/>
    </row>
    <row r="146" spans="1:88">
      <c r="A146" s="991"/>
      <c r="B146" s="205">
        <v>138</v>
      </c>
      <c r="C146" s="981"/>
      <c r="D146" s="943" t="s">
        <v>684</v>
      </c>
      <c r="E146" s="944"/>
      <c r="F146" s="944"/>
      <c r="G146" s="944"/>
      <c r="H146" s="944"/>
      <c r="I146" s="944"/>
      <c r="J146" s="944"/>
      <c r="K146" s="944"/>
      <c r="L146" s="944"/>
      <c r="M146" s="944"/>
      <c r="N146" s="945"/>
      <c r="O146" s="947">
        <v>4</v>
      </c>
      <c r="P146" s="948"/>
      <c r="Q146" s="948"/>
      <c r="R146" s="949"/>
      <c r="S146" s="961"/>
      <c r="T146" s="962"/>
      <c r="U146" s="962"/>
      <c r="V146" s="962"/>
      <c r="W146" s="961"/>
      <c r="X146" s="962"/>
      <c r="Y146" s="962"/>
      <c r="Z146" s="962"/>
      <c r="AA146" s="961"/>
      <c r="AB146" s="962"/>
      <c r="AC146" s="962"/>
      <c r="AD146" s="962"/>
      <c r="AE146" s="974"/>
      <c r="AF146" s="975"/>
      <c r="AG146" s="975"/>
      <c r="AH146" s="975"/>
      <c r="AI146" s="975"/>
      <c r="AJ146" s="976"/>
      <c r="AK146" s="947" t="s">
        <v>430</v>
      </c>
      <c r="AL146" s="948"/>
      <c r="AM146" s="948"/>
      <c r="AN146" s="949"/>
      <c r="AO146" s="963"/>
      <c r="AP146" s="964"/>
      <c r="AQ146" s="964"/>
      <c r="AR146" s="964"/>
      <c r="AS146" s="964"/>
      <c r="AT146" s="965"/>
      <c r="AU146" s="956"/>
      <c r="AV146" s="957"/>
      <c r="AW146" s="957"/>
      <c r="AX146" s="957"/>
      <c r="AY146" s="957"/>
      <c r="AZ146" s="958"/>
    </row>
    <row r="147" spans="1:88">
      <c r="A147" s="991"/>
      <c r="B147" s="205">
        <v>139</v>
      </c>
      <c r="C147" s="981"/>
      <c r="D147" s="295" t="s">
        <v>301</v>
      </c>
      <c r="E147" s="296"/>
      <c r="F147" s="296"/>
      <c r="G147" s="296"/>
      <c r="H147" s="296"/>
      <c r="I147" s="296"/>
      <c r="J147" s="296"/>
      <c r="K147" s="296"/>
      <c r="L147" s="296"/>
      <c r="M147" s="296"/>
      <c r="N147" s="297"/>
      <c r="O147" s="937">
        <v>2</v>
      </c>
      <c r="P147" s="938"/>
      <c r="Q147" s="938"/>
      <c r="R147" s="939"/>
      <c r="S147" s="959">
        <f>W145+2</f>
        <v>45976</v>
      </c>
      <c r="T147" s="960"/>
      <c r="U147" s="960"/>
      <c r="V147" s="960"/>
      <c r="W147" s="959">
        <f t="shared" ref="W147" si="21">S147+1</f>
        <v>45977</v>
      </c>
      <c r="X147" s="960"/>
      <c r="Y147" s="960"/>
      <c r="Z147" s="960"/>
      <c r="AA147" s="959"/>
      <c r="AB147" s="960"/>
      <c r="AC147" s="960"/>
      <c r="AD147" s="960"/>
      <c r="AE147" s="959"/>
      <c r="AF147" s="972"/>
      <c r="AG147" s="972"/>
      <c r="AH147" s="972"/>
      <c r="AI147" s="972"/>
      <c r="AJ147" s="973"/>
      <c r="AK147" s="947" t="s">
        <v>430</v>
      </c>
      <c r="AL147" s="948"/>
      <c r="AM147" s="948"/>
      <c r="AN147" s="949"/>
      <c r="AO147" s="963"/>
      <c r="AP147" s="964"/>
      <c r="AQ147" s="964"/>
      <c r="AR147" s="964"/>
      <c r="AS147" s="964"/>
      <c r="AT147" s="965"/>
      <c r="AU147" s="956"/>
      <c r="AV147" s="957"/>
      <c r="AW147" s="957"/>
      <c r="AX147" s="957"/>
      <c r="AY147" s="957"/>
      <c r="AZ147" s="958"/>
    </row>
    <row r="148" spans="1:88">
      <c r="A148" s="991"/>
      <c r="B148" s="205">
        <v>140</v>
      </c>
      <c r="C148" s="981"/>
      <c r="D148" s="295" t="s">
        <v>780</v>
      </c>
      <c r="E148" s="296"/>
      <c r="F148" s="296"/>
      <c r="G148" s="296"/>
      <c r="H148" s="296"/>
      <c r="I148" s="296"/>
      <c r="J148" s="296"/>
      <c r="K148" s="296"/>
      <c r="L148" s="296"/>
      <c r="M148" s="296"/>
      <c r="N148" s="297"/>
      <c r="O148" s="937">
        <v>6</v>
      </c>
      <c r="P148" s="938"/>
      <c r="Q148" s="938"/>
      <c r="R148" s="939"/>
      <c r="S148" s="961"/>
      <c r="T148" s="962"/>
      <c r="U148" s="962"/>
      <c r="V148" s="962"/>
      <c r="W148" s="961"/>
      <c r="X148" s="962"/>
      <c r="Y148" s="962"/>
      <c r="Z148" s="962"/>
      <c r="AA148" s="961"/>
      <c r="AB148" s="962"/>
      <c r="AC148" s="962"/>
      <c r="AD148" s="962"/>
      <c r="AE148" s="974"/>
      <c r="AF148" s="975"/>
      <c r="AG148" s="975"/>
      <c r="AH148" s="975"/>
      <c r="AI148" s="975"/>
      <c r="AJ148" s="976"/>
      <c r="AK148" s="947" t="s">
        <v>430</v>
      </c>
      <c r="AL148" s="948"/>
      <c r="AM148" s="948"/>
      <c r="AN148" s="949"/>
      <c r="AO148" s="963"/>
      <c r="AP148" s="964"/>
      <c r="AQ148" s="964"/>
      <c r="AR148" s="964"/>
      <c r="AS148" s="964"/>
      <c r="AT148" s="965"/>
      <c r="AU148" s="956"/>
      <c r="AV148" s="957"/>
      <c r="AW148" s="957"/>
      <c r="AX148" s="957"/>
      <c r="AY148" s="957"/>
      <c r="AZ148" s="958"/>
    </row>
    <row r="149" spans="1:88">
      <c r="A149" s="983" t="s">
        <v>959</v>
      </c>
      <c r="B149" s="984"/>
      <c r="C149" s="984"/>
      <c r="D149" s="984"/>
      <c r="E149" s="984"/>
      <c r="F149" s="984"/>
      <c r="G149" s="984"/>
      <c r="H149" s="984"/>
      <c r="I149" s="984"/>
      <c r="J149" s="984"/>
      <c r="K149" s="984"/>
      <c r="L149" s="984"/>
      <c r="M149" s="984"/>
      <c r="N149" s="984"/>
      <c r="O149" s="984"/>
      <c r="P149" s="984"/>
      <c r="Q149" s="984"/>
      <c r="R149" s="984"/>
      <c r="S149" s="984"/>
      <c r="T149" s="984"/>
      <c r="U149" s="984"/>
      <c r="V149" s="984"/>
      <c r="W149" s="984"/>
      <c r="X149" s="984"/>
      <c r="Y149" s="984"/>
      <c r="Z149" s="984"/>
      <c r="AA149" s="984"/>
      <c r="AB149" s="984"/>
      <c r="AC149" s="984"/>
      <c r="AD149" s="984"/>
      <c r="AE149" s="984"/>
      <c r="AF149" s="984"/>
      <c r="AG149" s="984"/>
      <c r="AH149" s="984"/>
      <c r="AI149" s="984"/>
      <c r="AJ149" s="984"/>
      <c r="AK149" s="984"/>
      <c r="AL149" s="984"/>
      <c r="AM149" s="984"/>
      <c r="AN149" s="984"/>
      <c r="AO149" s="984"/>
      <c r="AP149" s="984"/>
      <c r="AQ149" s="984"/>
      <c r="AR149" s="984"/>
      <c r="AS149" s="984"/>
      <c r="AT149" s="984"/>
      <c r="AU149" s="984"/>
      <c r="AV149" s="984"/>
      <c r="AW149" s="984"/>
      <c r="AX149" s="984"/>
      <c r="AY149" s="984"/>
      <c r="AZ149" s="984"/>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row>
    <row r="150" spans="1:88">
      <c r="A150" s="990">
        <v>8</v>
      </c>
      <c r="B150" s="205" t="s">
        <v>954</v>
      </c>
      <c r="C150" s="980" t="s">
        <v>960</v>
      </c>
      <c r="D150" s="943" t="s">
        <v>961</v>
      </c>
      <c r="E150" s="944"/>
      <c r="F150" s="944"/>
      <c r="G150" s="944"/>
      <c r="H150" s="944"/>
      <c r="I150" s="944"/>
      <c r="J150" s="944"/>
      <c r="K150" s="944"/>
      <c r="L150" s="944"/>
      <c r="M150" s="944"/>
      <c r="N150" s="945"/>
      <c r="O150" s="947">
        <v>22</v>
      </c>
      <c r="P150" s="948"/>
      <c r="Q150" s="948"/>
      <c r="R150" s="949"/>
      <c r="S150" s="931">
        <v>45978</v>
      </c>
      <c r="T150" s="932"/>
      <c r="U150" s="932"/>
      <c r="V150" s="933"/>
      <c r="W150" s="931">
        <f>S150+5</f>
        <v>45983</v>
      </c>
      <c r="X150" s="932"/>
      <c r="Y150" s="932"/>
      <c r="Z150" s="933"/>
      <c r="AA150" s="931"/>
      <c r="AB150" s="932"/>
      <c r="AC150" s="932"/>
      <c r="AD150" s="933"/>
      <c r="AE150" s="931"/>
      <c r="AF150" s="932"/>
      <c r="AG150" s="932"/>
      <c r="AH150" s="932"/>
      <c r="AI150" s="932"/>
      <c r="AJ150" s="933"/>
      <c r="AK150" s="947" t="s">
        <v>430</v>
      </c>
      <c r="AL150" s="948"/>
      <c r="AM150" s="948"/>
      <c r="AN150" s="949"/>
      <c r="AO150" s="963"/>
      <c r="AP150" s="964"/>
      <c r="AQ150" s="964"/>
      <c r="AR150" s="964"/>
      <c r="AS150" s="964"/>
      <c r="AT150" s="965"/>
      <c r="AU150" s="956"/>
      <c r="AV150" s="957"/>
      <c r="AW150" s="957"/>
      <c r="AX150" s="957"/>
      <c r="AY150" s="957"/>
      <c r="AZ150" s="958"/>
    </row>
    <row r="151" spans="1:88">
      <c r="A151" s="991"/>
      <c r="B151" s="205" t="s">
        <v>962</v>
      </c>
      <c r="C151" s="981"/>
      <c r="D151" s="943" t="s">
        <v>963</v>
      </c>
      <c r="E151" s="944"/>
      <c r="F151" s="944"/>
      <c r="G151" s="944"/>
      <c r="H151" s="944"/>
      <c r="I151" s="944"/>
      <c r="J151" s="944"/>
      <c r="K151" s="944"/>
      <c r="L151" s="944"/>
      <c r="M151" s="944"/>
      <c r="N151" s="945"/>
      <c r="O151" s="947">
        <v>12</v>
      </c>
      <c r="P151" s="948"/>
      <c r="Q151" s="948"/>
      <c r="R151" s="949"/>
      <c r="S151" s="953"/>
      <c r="T151" s="954"/>
      <c r="U151" s="954"/>
      <c r="V151" s="955"/>
      <c r="W151" s="953"/>
      <c r="X151" s="954"/>
      <c r="Y151" s="954"/>
      <c r="Z151" s="955"/>
      <c r="AA151" s="953"/>
      <c r="AB151" s="954"/>
      <c r="AC151" s="954"/>
      <c r="AD151" s="955"/>
      <c r="AE151" s="953"/>
      <c r="AF151" s="954"/>
      <c r="AG151" s="954"/>
      <c r="AH151" s="954"/>
      <c r="AI151" s="954"/>
      <c r="AJ151" s="955"/>
      <c r="AK151" s="947" t="s">
        <v>430</v>
      </c>
      <c r="AL151" s="948"/>
      <c r="AM151" s="948"/>
      <c r="AN151" s="949"/>
      <c r="AO151" s="963"/>
      <c r="AP151" s="964"/>
      <c r="AQ151" s="964"/>
      <c r="AR151" s="964"/>
      <c r="AS151" s="964"/>
      <c r="AT151" s="965"/>
      <c r="AU151" s="956"/>
      <c r="AV151" s="957"/>
      <c r="AW151" s="957"/>
      <c r="AX151" s="957"/>
      <c r="AY151" s="957"/>
      <c r="AZ151" s="958"/>
    </row>
    <row r="152" spans="1:88">
      <c r="A152" s="991"/>
      <c r="B152" s="205" t="s">
        <v>964</v>
      </c>
      <c r="C152" s="981"/>
      <c r="D152" s="943" t="s">
        <v>965</v>
      </c>
      <c r="E152" s="944"/>
      <c r="F152" s="944"/>
      <c r="G152" s="944"/>
      <c r="H152" s="944"/>
      <c r="I152" s="944"/>
      <c r="J152" s="944"/>
      <c r="K152" s="944"/>
      <c r="L152" s="944"/>
      <c r="M152" s="944"/>
      <c r="N152" s="945"/>
      <c r="O152" s="947">
        <v>8</v>
      </c>
      <c r="P152" s="948"/>
      <c r="Q152" s="948"/>
      <c r="R152" s="949"/>
      <c r="S152" s="931">
        <f>W150</f>
        <v>45983</v>
      </c>
      <c r="T152" s="932"/>
      <c r="U152" s="932"/>
      <c r="V152" s="933"/>
      <c r="W152" s="931">
        <f>S152+1</f>
        <v>45984</v>
      </c>
      <c r="X152" s="932"/>
      <c r="Y152" s="932"/>
      <c r="Z152" s="933"/>
      <c r="AA152" s="931"/>
      <c r="AB152" s="932"/>
      <c r="AC152" s="932"/>
      <c r="AD152" s="933"/>
      <c r="AE152" s="931"/>
      <c r="AF152" s="932"/>
      <c r="AG152" s="932"/>
      <c r="AH152" s="932"/>
      <c r="AI152" s="932"/>
      <c r="AJ152" s="933"/>
      <c r="AK152" s="947" t="s">
        <v>430</v>
      </c>
      <c r="AL152" s="948"/>
      <c r="AM152" s="948"/>
      <c r="AN152" s="949"/>
      <c r="AO152" s="963"/>
      <c r="AP152" s="964"/>
      <c r="AQ152" s="964"/>
      <c r="AR152" s="964"/>
      <c r="AS152" s="964"/>
      <c r="AT152" s="965"/>
      <c r="AU152" s="956"/>
      <c r="AV152" s="957"/>
      <c r="AW152" s="957"/>
      <c r="AX152" s="957"/>
      <c r="AY152" s="957"/>
      <c r="AZ152" s="958"/>
    </row>
    <row r="153" spans="1:88" ht="15" customHeight="1">
      <c r="A153" s="991"/>
      <c r="B153" s="205" t="s">
        <v>966</v>
      </c>
      <c r="C153" s="946" t="s">
        <v>967</v>
      </c>
      <c r="D153" s="943" t="s">
        <v>968</v>
      </c>
      <c r="E153" s="944"/>
      <c r="F153" s="944"/>
      <c r="G153" s="944"/>
      <c r="H153" s="944"/>
      <c r="I153" s="944"/>
      <c r="J153" s="944"/>
      <c r="K153" s="944"/>
      <c r="L153" s="944"/>
      <c r="M153" s="944"/>
      <c r="N153" s="945"/>
      <c r="O153" s="947">
        <v>2</v>
      </c>
      <c r="P153" s="948"/>
      <c r="Q153" s="948"/>
      <c r="R153" s="949"/>
      <c r="S153" s="940">
        <f>W152+2</f>
        <v>45986</v>
      </c>
      <c r="T153" s="941"/>
      <c r="U153" s="941"/>
      <c r="V153" s="942"/>
      <c r="W153" s="940">
        <f>S153+1</f>
        <v>45987</v>
      </c>
      <c r="X153" s="941"/>
      <c r="Y153" s="941"/>
      <c r="Z153" s="942"/>
      <c r="AA153" s="940"/>
      <c r="AB153" s="941"/>
      <c r="AC153" s="941"/>
      <c r="AD153" s="942"/>
      <c r="AE153" s="940"/>
      <c r="AF153" s="941"/>
      <c r="AG153" s="941"/>
      <c r="AH153" s="941"/>
      <c r="AI153" s="941"/>
      <c r="AJ153" s="942"/>
      <c r="AK153" s="947" t="s">
        <v>430</v>
      </c>
      <c r="AL153" s="948"/>
      <c r="AM153" s="948"/>
      <c r="AN153" s="949"/>
      <c r="AO153" s="963"/>
      <c r="AP153" s="964"/>
      <c r="AQ153" s="964"/>
      <c r="AR153" s="964"/>
      <c r="AS153" s="964"/>
      <c r="AT153" s="965"/>
      <c r="AU153" s="956"/>
      <c r="AV153" s="957"/>
      <c r="AW153" s="957"/>
      <c r="AX153" s="957"/>
      <c r="AY153" s="957"/>
      <c r="AZ153" s="958"/>
    </row>
    <row r="154" spans="1:88">
      <c r="A154" s="991"/>
      <c r="B154" s="205" t="s">
        <v>969</v>
      </c>
      <c r="C154" s="946"/>
      <c r="D154" s="943" t="s">
        <v>970</v>
      </c>
      <c r="E154" s="944"/>
      <c r="F154" s="944"/>
      <c r="G154" s="944"/>
      <c r="H154" s="944"/>
      <c r="I154" s="944"/>
      <c r="J154" s="944"/>
      <c r="K154" s="944"/>
      <c r="L154" s="944"/>
      <c r="M154" s="944"/>
      <c r="N154" s="945"/>
      <c r="O154" s="947">
        <v>4</v>
      </c>
      <c r="P154" s="948"/>
      <c r="Q154" s="948"/>
      <c r="R154" s="949"/>
      <c r="S154" s="940"/>
      <c r="T154" s="941"/>
      <c r="U154" s="941"/>
      <c r="V154" s="942"/>
      <c r="W154" s="940"/>
      <c r="X154" s="941"/>
      <c r="Y154" s="941"/>
      <c r="Z154" s="942"/>
      <c r="AA154" s="940"/>
      <c r="AB154" s="941"/>
      <c r="AC154" s="941"/>
      <c r="AD154" s="942"/>
      <c r="AE154" s="940"/>
      <c r="AF154" s="941"/>
      <c r="AG154" s="941"/>
      <c r="AH154" s="941"/>
      <c r="AI154" s="941"/>
      <c r="AJ154" s="942"/>
      <c r="AK154" s="947" t="s">
        <v>430</v>
      </c>
      <c r="AL154" s="948"/>
      <c r="AM154" s="948"/>
      <c r="AN154" s="949"/>
      <c r="AO154" s="963"/>
      <c r="AP154" s="964"/>
      <c r="AQ154" s="964"/>
      <c r="AR154" s="964"/>
      <c r="AS154" s="964"/>
      <c r="AT154" s="965"/>
      <c r="AU154" s="956"/>
      <c r="AV154" s="957"/>
      <c r="AW154" s="957"/>
      <c r="AX154" s="957"/>
      <c r="AY154" s="957"/>
      <c r="AZ154" s="958"/>
    </row>
    <row r="155" spans="1:88" ht="15" customHeight="1">
      <c r="A155" s="991"/>
      <c r="B155" s="205" t="s">
        <v>971</v>
      </c>
      <c r="C155" s="946" t="s">
        <v>972</v>
      </c>
      <c r="D155" s="943" t="s">
        <v>973</v>
      </c>
      <c r="E155" s="944"/>
      <c r="F155" s="944"/>
      <c r="G155" s="944"/>
      <c r="H155" s="944"/>
      <c r="I155" s="944"/>
      <c r="J155" s="944"/>
      <c r="K155" s="944"/>
      <c r="L155" s="944"/>
      <c r="M155" s="944"/>
      <c r="N155" s="945"/>
      <c r="O155" s="947">
        <v>2</v>
      </c>
      <c r="P155" s="948"/>
      <c r="Q155" s="948"/>
      <c r="R155" s="949"/>
      <c r="S155" s="940"/>
      <c r="T155" s="941"/>
      <c r="U155" s="941"/>
      <c r="V155" s="942"/>
      <c r="W155" s="940"/>
      <c r="X155" s="941"/>
      <c r="Y155" s="941"/>
      <c r="Z155" s="942"/>
      <c r="AA155" s="940"/>
      <c r="AB155" s="941"/>
      <c r="AC155" s="941"/>
      <c r="AD155" s="942"/>
      <c r="AE155" s="940"/>
      <c r="AF155" s="941"/>
      <c r="AG155" s="941"/>
      <c r="AH155" s="941"/>
      <c r="AI155" s="941"/>
      <c r="AJ155" s="942"/>
      <c r="AK155" s="947" t="s">
        <v>430</v>
      </c>
      <c r="AL155" s="948"/>
      <c r="AM155" s="948"/>
      <c r="AN155" s="949"/>
      <c r="AO155" s="963"/>
      <c r="AP155" s="964"/>
      <c r="AQ155" s="964"/>
      <c r="AR155" s="964"/>
      <c r="AS155" s="964"/>
      <c r="AT155" s="965"/>
      <c r="AU155" s="956"/>
      <c r="AV155" s="957"/>
      <c r="AW155" s="957"/>
      <c r="AX155" s="957"/>
      <c r="AY155" s="957"/>
      <c r="AZ155" s="958"/>
    </row>
    <row r="156" spans="1:88">
      <c r="A156" s="991"/>
      <c r="B156" s="205" t="s">
        <v>974</v>
      </c>
      <c r="C156" s="946"/>
      <c r="D156" s="943" t="s">
        <v>975</v>
      </c>
      <c r="E156" s="944"/>
      <c r="F156" s="944"/>
      <c r="G156" s="944"/>
      <c r="H156" s="944"/>
      <c r="I156" s="944"/>
      <c r="J156" s="944"/>
      <c r="K156" s="944"/>
      <c r="L156" s="944"/>
      <c r="M156" s="944"/>
      <c r="N156" s="945"/>
      <c r="O156" s="947">
        <v>2</v>
      </c>
      <c r="P156" s="948"/>
      <c r="Q156" s="948"/>
      <c r="R156" s="949"/>
      <c r="S156" s="940">
        <f>W153</f>
        <v>45987</v>
      </c>
      <c r="T156" s="941"/>
      <c r="U156" s="941"/>
      <c r="V156" s="942"/>
      <c r="W156" s="940">
        <f>S156+1</f>
        <v>45988</v>
      </c>
      <c r="X156" s="941"/>
      <c r="Y156" s="941"/>
      <c r="Z156" s="942"/>
      <c r="AA156" s="940"/>
      <c r="AB156" s="941"/>
      <c r="AC156" s="941"/>
      <c r="AD156" s="942"/>
      <c r="AE156" s="940"/>
      <c r="AF156" s="941"/>
      <c r="AG156" s="941"/>
      <c r="AH156" s="941"/>
      <c r="AI156" s="941"/>
      <c r="AJ156" s="942"/>
      <c r="AK156" s="947" t="s">
        <v>430</v>
      </c>
      <c r="AL156" s="948"/>
      <c r="AM156" s="948"/>
      <c r="AN156" s="949"/>
      <c r="AO156" s="963"/>
      <c r="AP156" s="964"/>
      <c r="AQ156" s="964"/>
      <c r="AR156" s="964"/>
      <c r="AS156" s="964"/>
      <c r="AT156" s="965"/>
      <c r="AU156" s="956"/>
      <c r="AV156" s="957"/>
      <c r="AW156" s="957"/>
      <c r="AX156" s="957"/>
      <c r="AY156" s="957"/>
      <c r="AZ156" s="958"/>
    </row>
    <row r="157" spans="1:88" ht="15" customHeight="1">
      <c r="A157" s="991"/>
      <c r="B157" s="205" t="s">
        <v>976</v>
      </c>
      <c r="C157" s="946" t="s">
        <v>977</v>
      </c>
      <c r="D157" s="943" t="s">
        <v>978</v>
      </c>
      <c r="E157" s="944"/>
      <c r="F157" s="944"/>
      <c r="G157" s="944"/>
      <c r="H157" s="944"/>
      <c r="I157" s="944"/>
      <c r="J157" s="944"/>
      <c r="K157" s="944"/>
      <c r="L157" s="944"/>
      <c r="M157" s="944"/>
      <c r="N157" s="945"/>
      <c r="O157" s="947">
        <v>6</v>
      </c>
      <c r="P157" s="948"/>
      <c r="Q157" s="948"/>
      <c r="R157" s="949"/>
      <c r="S157" s="940"/>
      <c r="T157" s="941"/>
      <c r="U157" s="941"/>
      <c r="V157" s="942"/>
      <c r="W157" s="940"/>
      <c r="X157" s="941"/>
      <c r="Y157" s="941"/>
      <c r="Z157" s="942"/>
      <c r="AA157" s="940"/>
      <c r="AB157" s="941"/>
      <c r="AC157" s="941"/>
      <c r="AD157" s="942"/>
      <c r="AE157" s="940"/>
      <c r="AF157" s="941"/>
      <c r="AG157" s="941"/>
      <c r="AH157" s="941"/>
      <c r="AI157" s="941"/>
      <c r="AJ157" s="942"/>
      <c r="AK157" s="947" t="s">
        <v>430</v>
      </c>
      <c r="AL157" s="948"/>
      <c r="AM157" s="948"/>
      <c r="AN157" s="949"/>
      <c r="AO157" s="963"/>
      <c r="AP157" s="964"/>
      <c r="AQ157" s="964"/>
      <c r="AR157" s="964"/>
      <c r="AS157" s="964"/>
      <c r="AT157" s="965"/>
      <c r="AU157" s="956"/>
      <c r="AV157" s="957"/>
      <c r="AW157" s="957"/>
      <c r="AX157" s="957"/>
      <c r="AY157" s="957"/>
      <c r="AZ157" s="958"/>
    </row>
    <row r="158" spans="1:88">
      <c r="A158" s="991"/>
      <c r="B158" s="205" t="s">
        <v>979</v>
      </c>
      <c r="C158" s="946"/>
      <c r="D158" s="943" t="s">
        <v>980</v>
      </c>
      <c r="E158" s="944"/>
      <c r="F158" s="944"/>
      <c r="G158" s="944"/>
      <c r="H158" s="944"/>
      <c r="I158" s="944"/>
      <c r="J158" s="944"/>
      <c r="K158" s="944"/>
      <c r="L158" s="944"/>
      <c r="M158" s="944"/>
      <c r="N158" s="945"/>
      <c r="O158" s="947">
        <v>2</v>
      </c>
      <c r="P158" s="948"/>
      <c r="Q158" s="948"/>
      <c r="R158" s="949"/>
      <c r="S158" s="953"/>
      <c r="T158" s="954"/>
      <c r="U158" s="954"/>
      <c r="V158" s="955"/>
      <c r="W158" s="953"/>
      <c r="X158" s="954"/>
      <c r="Y158" s="954"/>
      <c r="Z158" s="955"/>
      <c r="AA158" s="953"/>
      <c r="AB158" s="954"/>
      <c r="AC158" s="954"/>
      <c r="AD158" s="955"/>
      <c r="AE158" s="953"/>
      <c r="AF158" s="954"/>
      <c r="AG158" s="954"/>
      <c r="AH158" s="954"/>
      <c r="AI158" s="954"/>
      <c r="AJ158" s="955"/>
      <c r="AK158" s="947" t="s">
        <v>430</v>
      </c>
      <c r="AL158" s="948"/>
      <c r="AM158" s="948"/>
      <c r="AN158" s="949"/>
      <c r="AO158" s="963"/>
      <c r="AP158" s="964"/>
      <c r="AQ158" s="964"/>
      <c r="AR158" s="964"/>
      <c r="AS158" s="964"/>
      <c r="AT158" s="965"/>
      <c r="AU158" s="956"/>
      <c r="AV158" s="957"/>
      <c r="AW158" s="957"/>
      <c r="AX158" s="957"/>
      <c r="AY158" s="957"/>
      <c r="AZ158" s="958"/>
    </row>
    <row r="159" spans="1:88">
      <c r="A159" s="991"/>
      <c r="B159" s="205" t="s">
        <v>981</v>
      </c>
      <c r="C159" s="946" t="s">
        <v>982</v>
      </c>
      <c r="D159" s="943" t="s">
        <v>983</v>
      </c>
      <c r="E159" s="944"/>
      <c r="F159" s="944"/>
      <c r="G159" s="944"/>
      <c r="H159" s="944"/>
      <c r="I159" s="944"/>
      <c r="J159" s="944"/>
      <c r="K159" s="944"/>
      <c r="L159" s="944"/>
      <c r="M159" s="944"/>
      <c r="N159" s="945"/>
      <c r="O159" s="947">
        <v>8</v>
      </c>
      <c r="P159" s="948"/>
      <c r="Q159" s="948"/>
      <c r="R159" s="949"/>
      <c r="S159" s="931">
        <f>W156</f>
        <v>45988</v>
      </c>
      <c r="T159" s="932"/>
      <c r="U159" s="932"/>
      <c r="V159" s="933"/>
      <c r="W159" s="931">
        <f>S159+1</f>
        <v>45989</v>
      </c>
      <c r="X159" s="932"/>
      <c r="Y159" s="932"/>
      <c r="Z159" s="933"/>
      <c r="AA159" s="931"/>
      <c r="AB159" s="932"/>
      <c r="AC159" s="932"/>
      <c r="AD159" s="933"/>
      <c r="AE159" s="298"/>
      <c r="AF159" s="293"/>
      <c r="AG159" s="293"/>
      <c r="AH159" s="293"/>
      <c r="AI159" s="293"/>
      <c r="AJ159" s="285"/>
      <c r="AK159" s="306"/>
      <c r="AL159" s="307"/>
      <c r="AM159" s="307"/>
      <c r="AN159" s="308"/>
      <c r="AO159" s="309"/>
      <c r="AP159" s="310"/>
      <c r="AQ159" s="310"/>
      <c r="AR159" s="310"/>
      <c r="AS159" s="310"/>
      <c r="AT159" s="311"/>
      <c r="AU159" s="286"/>
      <c r="AV159" s="287"/>
      <c r="AW159" s="287"/>
      <c r="AX159" s="287"/>
      <c r="AY159" s="287"/>
      <c r="AZ159" s="288"/>
    </row>
    <row r="160" spans="1:88">
      <c r="A160" s="991"/>
      <c r="B160" s="205" t="s">
        <v>984</v>
      </c>
      <c r="C160" s="946"/>
      <c r="D160" s="943" t="s">
        <v>985</v>
      </c>
      <c r="E160" s="944"/>
      <c r="F160" s="944"/>
      <c r="G160" s="944"/>
      <c r="H160" s="944"/>
      <c r="I160" s="944"/>
      <c r="J160" s="944"/>
      <c r="K160" s="944"/>
      <c r="L160" s="944"/>
      <c r="M160" s="944"/>
      <c r="N160" s="945"/>
      <c r="O160" s="947">
        <v>8</v>
      </c>
      <c r="P160" s="948"/>
      <c r="Q160" s="948"/>
      <c r="R160" s="949"/>
      <c r="S160" s="931">
        <f>W159</f>
        <v>45989</v>
      </c>
      <c r="T160" s="932"/>
      <c r="U160" s="932"/>
      <c r="V160" s="933"/>
      <c r="W160" s="931">
        <f>S160+1</f>
        <v>45990</v>
      </c>
      <c r="X160" s="932"/>
      <c r="Y160" s="932"/>
      <c r="Z160" s="933"/>
      <c r="AA160" s="931"/>
      <c r="AB160" s="932"/>
      <c r="AC160" s="932"/>
      <c r="AD160" s="933"/>
      <c r="AE160" s="298"/>
      <c r="AF160" s="293"/>
      <c r="AG160" s="293"/>
      <c r="AH160" s="293"/>
      <c r="AI160" s="293"/>
      <c r="AJ160" s="285"/>
      <c r="AK160" s="306"/>
      <c r="AL160" s="307"/>
      <c r="AM160" s="307"/>
      <c r="AN160" s="308"/>
      <c r="AO160" s="309"/>
      <c r="AP160" s="310"/>
      <c r="AQ160" s="310"/>
      <c r="AR160" s="310"/>
      <c r="AS160" s="310"/>
      <c r="AT160" s="311"/>
      <c r="AU160" s="286"/>
      <c r="AV160" s="287"/>
      <c r="AW160" s="287"/>
      <c r="AX160" s="287"/>
      <c r="AY160" s="287"/>
      <c r="AZ160" s="288"/>
    </row>
    <row r="161" spans="1:52">
      <c r="A161" s="991"/>
      <c r="B161" s="205" t="s">
        <v>986</v>
      </c>
      <c r="C161" s="946" t="s">
        <v>426</v>
      </c>
      <c r="D161" s="295" t="s">
        <v>301</v>
      </c>
      <c r="E161" s="296"/>
      <c r="F161" s="296"/>
      <c r="G161" s="296"/>
      <c r="H161" s="296"/>
      <c r="I161" s="296"/>
      <c r="J161" s="296"/>
      <c r="K161" s="296"/>
      <c r="L161" s="296"/>
      <c r="M161" s="296"/>
      <c r="N161" s="297"/>
      <c r="O161" s="937">
        <v>2</v>
      </c>
      <c r="P161" s="938"/>
      <c r="Q161" s="938"/>
      <c r="R161" s="939"/>
      <c r="S161" s="931">
        <f>W152+2</f>
        <v>45986</v>
      </c>
      <c r="T161" s="932"/>
      <c r="U161" s="932"/>
      <c r="V161" s="933"/>
      <c r="W161" s="931">
        <f t="shared" ref="W161" si="22">S161+1</f>
        <v>45987</v>
      </c>
      <c r="X161" s="932"/>
      <c r="Y161" s="932"/>
      <c r="Z161" s="933"/>
      <c r="AA161" s="931"/>
      <c r="AB161" s="932"/>
      <c r="AC161" s="932"/>
      <c r="AD161" s="933"/>
      <c r="AE161" s="931"/>
      <c r="AF161" s="932"/>
      <c r="AG161" s="932"/>
      <c r="AH161" s="932"/>
      <c r="AI161" s="932"/>
      <c r="AJ161" s="933"/>
      <c r="AK161" s="947" t="s">
        <v>430</v>
      </c>
      <c r="AL161" s="948"/>
      <c r="AM161" s="948"/>
      <c r="AN161" s="949"/>
      <c r="AO161" s="963"/>
      <c r="AP161" s="964"/>
      <c r="AQ161" s="964"/>
      <c r="AR161" s="964"/>
      <c r="AS161" s="964"/>
      <c r="AT161" s="965"/>
      <c r="AU161" s="956"/>
      <c r="AV161" s="957"/>
      <c r="AW161" s="957"/>
      <c r="AX161" s="957"/>
      <c r="AY161" s="957"/>
      <c r="AZ161" s="958"/>
    </row>
    <row r="162" spans="1:52">
      <c r="A162" s="992"/>
      <c r="B162" s="205" t="s">
        <v>987</v>
      </c>
      <c r="C162" s="969"/>
      <c r="D162" s="295" t="s">
        <v>780</v>
      </c>
      <c r="E162" s="296"/>
      <c r="F162" s="296"/>
      <c r="G162" s="296"/>
      <c r="H162" s="296"/>
      <c r="I162" s="296"/>
      <c r="J162" s="296"/>
      <c r="K162" s="296"/>
      <c r="L162" s="296"/>
      <c r="M162" s="296"/>
      <c r="N162" s="297"/>
      <c r="O162" s="937">
        <v>6</v>
      </c>
      <c r="P162" s="938"/>
      <c r="Q162" s="938"/>
      <c r="R162" s="939"/>
      <c r="S162" s="953"/>
      <c r="T162" s="954"/>
      <c r="U162" s="954"/>
      <c r="V162" s="955"/>
      <c r="W162" s="953"/>
      <c r="X162" s="954"/>
      <c r="Y162" s="954"/>
      <c r="Z162" s="955"/>
      <c r="AA162" s="953"/>
      <c r="AB162" s="954"/>
      <c r="AC162" s="954"/>
      <c r="AD162" s="955"/>
      <c r="AE162" s="953"/>
      <c r="AF162" s="954"/>
      <c r="AG162" s="954"/>
      <c r="AH162" s="954"/>
      <c r="AI162" s="954"/>
      <c r="AJ162" s="955"/>
      <c r="AK162" s="947" t="s">
        <v>430</v>
      </c>
      <c r="AL162" s="948"/>
      <c r="AM162" s="948"/>
      <c r="AN162" s="949"/>
      <c r="AO162" s="963"/>
      <c r="AP162" s="964"/>
      <c r="AQ162" s="964"/>
      <c r="AR162" s="964"/>
      <c r="AS162" s="964"/>
      <c r="AT162" s="965"/>
      <c r="AU162" s="956"/>
      <c r="AV162" s="957"/>
      <c r="AW162" s="957"/>
      <c r="AX162" s="957"/>
      <c r="AY162" s="957"/>
      <c r="AZ162" s="958"/>
    </row>
    <row r="163" spans="1:52">
      <c r="A163" s="1005"/>
      <c r="B163" s="1005"/>
      <c r="C163" s="1005"/>
      <c r="D163" s="1005"/>
      <c r="E163" s="1005"/>
      <c r="F163" s="1005"/>
      <c r="G163" s="1005"/>
      <c r="H163" s="1005"/>
      <c r="I163" s="1005"/>
      <c r="J163" s="1005"/>
      <c r="K163" s="1005"/>
      <c r="L163" s="1005"/>
      <c r="M163" s="1005"/>
      <c r="N163" s="1005"/>
      <c r="O163" s="1006"/>
      <c r="P163" s="1007"/>
      <c r="Q163" s="1007"/>
      <c r="R163" s="1007"/>
      <c r="S163" s="305"/>
      <c r="T163" s="305"/>
      <c r="U163" s="305"/>
      <c r="V163" s="305"/>
      <c r="W163" s="305"/>
      <c r="X163" s="305"/>
      <c r="Y163" s="305"/>
      <c r="Z163" s="305"/>
      <c r="AA163" s="305"/>
      <c r="AB163" s="305"/>
      <c r="AC163" s="305"/>
      <c r="AD163" s="305"/>
      <c r="AE163" s="305"/>
      <c r="AF163" s="305"/>
      <c r="AG163" s="305"/>
      <c r="AH163" s="305"/>
      <c r="AI163" s="305"/>
      <c r="AJ163" s="305"/>
      <c r="AK163" s="305"/>
      <c r="AL163" s="305"/>
      <c r="AM163" s="305"/>
      <c r="AN163" s="305"/>
      <c r="AO163" s="305"/>
      <c r="AP163" s="305"/>
      <c r="AQ163" s="305"/>
      <c r="AR163" s="305"/>
      <c r="AS163" s="305"/>
      <c r="AT163" s="305"/>
      <c r="AU163" s="305"/>
      <c r="AV163" s="305"/>
      <c r="AW163" s="305"/>
      <c r="AX163" s="305"/>
      <c r="AY163" s="305"/>
      <c r="AZ163" s="305"/>
    </row>
    <row r="164" spans="1:52">
      <c r="O164" s="989"/>
      <c r="P164" s="989"/>
      <c r="Q164" s="989"/>
      <c r="R164" s="989"/>
    </row>
    <row r="165" spans="1:52">
      <c r="A165" s="32"/>
    </row>
  </sheetData>
  <mergeCells count="1002">
    <mergeCell ref="AU152:AZ152"/>
    <mergeCell ref="C18:C19"/>
    <mergeCell ref="S18:V22"/>
    <mergeCell ref="W18:Z22"/>
    <mergeCell ref="C20:C22"/>
    <mergeCell ref="D22:N22"/>
    <mergeCell ref="O22:R22"/>
    <mergeCell ref="O13:R13"/>
    <mergeCell ref="D108:N108"/>
    <mergeCell ref="S161:V162"/>
    <mergeCell ref="A149:AZ149"/>
    <mergeCell ref="D150:N150"/>
    <mergeCell ref="S150:V151"/>
    <mergeCell ref="W150:Z151"/>
    <mergeCell ref="AA150:AD151"/>
    <mergeCell ref="AK150:AN150"/>
    <mergeCell ref="AO150:AT150"/>
    <mergeCell ref="AU150:AZ150"/>
    <mergeCell ref="D151:N151"/>
    <mergeCell ref="AK151:AN151"/>
    <mergeCell ref="AO151:AT151"/>
    <mergeCell ref="AU151:AZ151"/>
    <mergeCell ref="O150:R150"/>
    <mergeCell ref="O151:R151"/>
    <mergeCell ref="O152:R152"/>
    <mergeCell ref="D155:N155"/>
    <mergeCell ref="D157:N157"/>
    <mergeCell ref="D156:N156"/>
    <mergeCell ref="C155:C156"/>
    <mergeCell ref="AU130:AZ130"/>
    <mergeCell ref="AO131:AT131"/>
    <mergeCell ref="AK124:AN124"/>
    <mergeCell ref="Q2:U2"/>
    <mergeCell ref="V2:Z2"/>
    <mergeCell ref="AA2:AE2"/>
    <mergeCell ref="AR1:AR3"/>
    <mergeCell ref="C16:C17"/>
    <mergeCell ref="AK16:AN16"/>
    <mergeCell ref="AO18:AT18"/>
    <mergeCell ref="A3:C3"/>
    <mergeCell ref="D1:D3"/>
    <mergeCell ref="A2:C2"/>
    <mergeCell ref="O15:R15"/>
    <mergeCell ref="D9:F9"/>
    <mergeCell ref="D10:N10"/>
    <mergeCell ref="D12:N12"/>
    <mergeCell ref="C14:C15"/>
    <mergeCell ref="AO16:AT16"/>
    <mergeCell ref="AO14:AT14"/>
    <mergeCell ref="A10:B10"/>
    <mergeCell ref="E2:L2"/>
    <mergeCell ref="M2:P2"/>
    <mergeCell ref="AO10:AT10"/>
    <mergeCell ref="W16:Z17"/>
    <mergeCell ref="D17:N17"/>
    <mergeCell ref="D18:N18"/>
    <mergeCell ref="S16:V17"/>
    <mergeCell ref="AK17:AN17"/>
    <mergeCell ref="AO17:AT17"/>
    <mergeCell ref="D30:N30"/>
    <mergeCell ref="O44:R44"/>
    <mergeCell ref="D26:N26"/>
    <mergeCell ref="D33:N33"/>
    <mergeCell ref="D32:N32"/>
    <mergeCell ref="O36:R36"/>
    <mergeCell ref="O37:R37"/>
    <mergeCell ref="D55:N55"/>
    <mergeCell ref="D56:N56"/>
    <mergeCell ref="O55:R55"/>
    <mergeCell ref="O57:R57"/>
    <mergeCell ref="O54:R54"/>
    <mergeCell ref="S43:V46"/>
    <mergeCell ref="S23:V24"/>
    <mergeCell ref="W23:Z24"/>
    <mergeCell ref="W27:Z28"/>
    <mergeCell ref="S29:V30"/>
    <mergeCell ref="W29:Z30"/>
    <mergeCell ref="S31:V32"/>
    <mergeCell ref="W31:Z32"/>
    <mergeCell ref="D50:N50"/>
    <mergeCell ref="D52:N52"/>
    <mergeCell ref="D46:N46"/>
    <mergeCell ref="D47:N47"/>
    <mergeCell ref="D48:N48"/>
    <mergeCell ref="D49:N49"/>
    <mergeCell ref="D51:N51"/>
    <mergeCell ref="D54:N54"/>
    <mergeCell ref="D53:N53"/>
    <mergeCell ref="D57:N57"/>
    <mergeCell ref="O31:R31"/>
    <mergeCell ref="O32:R32"/>
    <mergeCell ref="D60:N60"/>
    <mergeCell ref="D65:N65"/>
    <mergeCell ref="D58:N58"/>
    <mergeCell ref="O65:R65"/>
    <mergeCell ref="D62:N62"/>
    <mergeCell ref="D63:N63"/>
    <mergeCell ref="D64:N64"/>
    <mergeCell ref="O62:R62"/>
    <mergeCell ref="D59:N59"/>
    <mergeCell ref="O59:R59"/>
    <mergeCell ref="D72:N72"/>
    <mergeCell ref="D73:N73"/>
    <mergeCell ref="D74:N74"/>
    <mergeCell ref="O81:R81"/>
    <mergeCell ref="D87:N87"/>
    <mergeCell ref="D83:N83"/>
    <mergeCell ref="D69:N69"/>
    <mergeCell ref="D71:N71"/>
    <mergeCell ref="O64:R64"/>
    <mergeCell ref="D80:N80"/>
    <mergeCell ref="O80:R80"/>
    <mergeCell ref="O60:R60"/>
    <mergeCell ref="O61:R61"/>
    <mergeCell ref="D61:N61"/>
    <mergeCell ref="D68:N68"/>
    <mergeCell ref="D82:N82"/>
    <mergeCell ref="O79:R79"/>
    <mergeCell ref="D70:N70"/>
    <mergeCell ref="O87:R87"/>
    <mergeCell ref="D75:N75"/>
    <mergeCell ref="D76:N76"/>
    <mergeCell ref="D77:N77"/>
    <mergeCell ref="AE94:AJ97"/>
    <mergeCell ref="AU102:AZ102"/>
    <mergeCell ref="AU98:AZ98"/>
    <mergeCell ref="AU103:AZ103"/>
    <mergeCell ref="AU100:AZ100"/>
    <mergeCell ref="AA102:AD103"/>
    <mergeCell ref="AK95:AN95"/>
    <mergeCell ref="AO95:AT95"/>
    <mergeCell ref="AU95:AZ95"/>
    <mergeCell ref="AK96:AN96"/>
    <mergeCell ref="AO96:AT96"/>
    <mergeCell ref="O18:R18"/>
    <mergeCell ref="O16:R16"/>
    <mergeCell ref="D19:N19"/>
    <mergeCell ref="O46:R46"/>
    <mergeCell ref="O45:R45"/>
    <mergeCell ref="D44:N44"/>
    <mergeCell ref="D45:N45"/>
    <mergeCell ref="D28:N28"/>
    <mergeCell ref="D27:N27"/>
    <mergeCell ref="O19:R19"/>
    <mergeCell ref="D20:N20"/>
    <mergeCell ref="O20:R20"/>
    <mergeCell ref="D21:N21"/>
    <mergeCell ref="O21:R21"/>
    <mergeCell ref="D24:N24"/>
    <mergeCell ref="O24:R24"/>
    <mergeCell ref="D23:N23"/>
    <mergeCell ref="O23:R23"/>
    <mergeCell ref="D43:N43"/>
    <mergeCell ref="D41:N41"/>
    <mergeCell ref="D31:N31"/>
    <mergeCell ref="AE91:AJ93"/>
    <mergeCell ref="AO100:AT100"/>
    <mergeCell ref="AO110:AT110"/>
    <mergeCell ref="AO102:AT102"/>
    <mergeCell ref="AO98:AT98"/>
    <mergeCell ref="AO99:AT99"/>
    <mergeCell ref="AO103:AT103"/>
    <mergeCell ref="W111:Z112"/>
    <mergeCell ref="AA111:AD112"/>
    <mergeCell ref="AE111:AJ112"/>
    <mergeCell ref="D114:N114"/>
    <mergeCell ref="AK112:AN112"/>
    <mergeCell ref="W109:Z110"/>
    <mergeCell ref="AU91:AZ91"/>
    <mergeCell ref="AO91:AT91"/>
    <mergeCell ref="AU99:AZ99"/>
    <mergeCell ref="AO92:AT92"/>
    <mergeCell ref="AU92:AZ92"/>
    <mergeCell ref="AO105:AT105"/>
    <mergeCell ref="AK91:AN91"/>
    <mergeCell ref="AK92:AN92"/>
    <mergeCell ref="W105:Z106"/>
    <mergeCell ref="AA105:AD106"/>
    <mergeCell ref="AE105:AJ106"/>
    <mergeCell ref="AK105:AN105"/>
    <mergeCell ref="AE102:AJ103"/>
    <mergeCell ref="AK102:AN102"/>
    <mergeCell ref="W98:Z101"/>
    <mergeCell ref="AA98:AD101"/>
    <mergeCell ref="AE98:AJ101"/>
    <mergeCell ref="AK98:AN98"/>
    <mergeCell ref="AK99:AN99"/>
    <mergeCell ref="AO107:AT107"/>
    <mergeCell ref="AU124:AZ124"/>
    <mergeCell ref="AU108:AZ108"/>
    <mergeCell ref="AO108:AT108"/>
    <mergeCell ref="AK106:AN106"/>
    <mergeCell ref="AK111:AN111"/>
    <mergeCell ref="AO113:AT113"/>
    <mergeCell ref="AO109:AT109"/>
    <mergeCell ref="AU107:AZ107"/>
    <mergeCell ref="AU112:AZ112"/>
    <mergeCell ref="AU97:AZ97"/>
    <mergeCell ref="AU96:AZ96"/>
    <mergeCell ref="AO97:AT97"/>
    <mergeCell ref="AO101:AT101"/>
    <mergeCell ref="AU101:AZ101"/>
    <mergeCell ref="AU109:AZ109"/>
    <mergeCell ref="AU110:AZ110"/>
    <mergeCell ref="AK100:AN100"/>
    <mergeCell ref="AU106:AZ106"/>
    <mergeCell ref="AO114:AT114"/>
    <mergeCell ref="AU114:AZ114"/>
    <mergeCell ref="AK110:AN110"/>
    <mergeCell ref="AK108:AN108"/>
    <mergeCell ref="AO115:AT115"/>
    <mergeCell ref="AO116:AT116"/>
    <mergeCell ref="AK109:AN109"/>
    <mergeCell ref="AK113:AN113"/>
    <mergeCell ref="AU119:AZ119"/>
    <mergeCell ref="A163:N163"/>
    <mergeCell ref="O163:R163"/>
    <mergeCell ref="O130:R130"/>
    <mergeCell ref="O131:R131"/>
    <mergeCell ref="D129:N129"/>
    <mergeCell ref="D131:N131"/>
    <mergeCell ref="O129:R129"/>
    <mergeCell ref="D134:N134"/>
    <mergeCell ref="D135:N135"/>
    <mergeCell ref="D136:N136"/>
    <mergeCell ref="D152:N152"/>
    <mergeCell ref="D158:N158"/>
    <mergeCell ref="O134:R134"/>
    <mergeCell ref="O135:R135"/>
    <mergeCell ref="O136:R136"/>
    <mergeCell ref="O137:R137"/>
    <mergeCell ref="O141:R141"/>
    <mergeCell ref="O158:R158"/>
    <mergeCell ref="D153:N153"/>
    <mergeCell ref="D154:N154"/>
    <mergeCell ref="C150:C152"/>
    <mergeCell ref="A150:A162"/>
    <mergeCell ref="O153:R153"/>
    <mergeCell ref="O154:R154"/>
    <mergeCell ref="D137:N137"/>
    <mergeCell ref="D138:N138"/>
    <mergeCell ref="O145:R145"/>
    <mergeCell ref="D133:N133"/>
    <mergeCell ref="C161:C162"/>
    <mergeCell ref="O159:R159"/>
    <mergeCell ref="O160:R160"/>
    <mergeCell ref="O146:R146"/>
    <mergeCell ref="AU26:AZ26"/>
    <mergeCell ref="AO26:AT26"/>
    <mergeCell ref="AU17:AZ17"/>
    <mergeCell ref="AU41:AZ41"/>
    <mergeCell ref="AO42:AT42"/>
    <mergeCell ref="AU42:AZ42"/>
    <mergeCell ref="AK51:AN51"/>
    <mergeCell ref="AK53:AN53"/>
    <mergeCell ref="AK41:AN41"/>
    <mergeCell ref="AK42:AN42"/>
    <mergeCell ref="AK45:AN45"/>
    <mergeCell ref="AK103:AN103"/>
    <mergeCell ref="AK78:AN78"/>
    <mergeCell ref="AK82:AN82"/>
    <mergeCell ref="AK83:AN83"/>
    <mergeCell ref="AK87:AN87"/>
    <mergeCell ref="AK70:AN70"/>
    <mergeCell ref="AK71:AN71"/>
    <mergeCell ref="AK72:AN72"/>
    <mergeCell ref="AK46:AN46"/>
    <mergeCell ref="AK47:AN47"/>
    <mergeCell ref="AK48:AN48"/>
    <mergeCell ref="AK56:AN56"/>
    <mergeCell ref="AK67:AN67"/>
    <mergeCell ref="AK63:AN63"/>
    <mergeCell ref="AK44:AN44"/>
    <mergeCell ref="AK54:AN54"/>
    <mergeCell ref="AO73:AT73"/>
    <mergeCell ref="AU73:AZ73"/>
    <mergeCell ref="AU74:AZ74"/>
    <mergeCell ref="AU75:AZ75"/>
    <mergeCell ref="AU76:AZ76"/>
    <mergeCell ref="AU10:AZ10"/>
    <mergeCell ref="AO12:AT12"/>
    <mergeCell ref="AU12:AZ12"/>
    <mergeCell ref="O10:R10"/>
    <mergeCell ref="S10:V10"/>
    <mergeCell ref="W10:Z10"/>
    <mergeCell ref="AK10:AN10"/>
    <mergeCell ref="AK12:AN12"/>
    <mergeCell ref="AA10:AD10"/>
    <mergeCell ref="AE10:AJ10"/>
    <mergeCell ref="A11:AZ11"/>
    <mergeCell ref="S12:V15"/>
    <mergeCell ref="W12:Z15"/>
    <mergeCell ref="AA12:AD15"/>
    <mergeCell ref="AE12:AJ15"/>
    <mergeCell ref="AU14:AZ14"/>
    <mergeCell ref="AK15:AN15"/>
    <mergeCell ref="AO15:AT15"/>
    <mergeCell ref="AU15:AZ15"/>
    <mergeCell ref="O14:R14"/>
    <mergeCell ref="AK14:AN14"/>
    <mergeCell ref="AU13:AZ13"/>
    <mergeCell ref="AK13:AN13"/>
    <mergeCell ref="A12:A24"/>
    <mergeCell ref="AU23:AZ23"/>
    <mergeCell ref="AK24:AN24"/>
    <mergeCell ref="AO24:AT24"/>
    <mergeCell ref="AU24:AZ24"/>
    <mergeCell ref="AK23:AN23"/>
    <mergeCell ref="AO22:AT22"/>
    <mergeCell ref="AK18:AN18"/>
    <mergeCell ref="AU88:AZ88"/>
    <mergeCell ref="AU87:AZ87"/>
    <mergeCell ref="AU79:AZ79"/>
    <mergeCell ref="AU16:AZ16"/>
    <mergeCell ref="AA16:AD17"/>
    <mergeCell ref="AE16:AJ17"/>
    <mergeCell ref="AA18:AD24"/>
    <mergeCell ref="AE18:AJ24"/>
    <mergeCell ref="D42:N42"/>
    <mergeCell ref="O43:R43"/>
    <mergeCell ref="D15:N15"/>
    <mergeCell ref="O12:R12"/>
    <mergeCell ref="D13:N13"/>
    <mergeCell ref="D14:N14"/>
    <mergeCell ref="D16:N16"/>
    <mergeCell ref="O17:R17"/>
    <mergeCell ref="AO13:AT13"/>
    <mergeCell ref="AO38:AT38"/>
    <mergeCell ref="AK43:AN43"/>
    <mergeCell ref="AO41:AT41"/>
    <mergeCell ref="AO43:AT43"/>
    <mergeCell ref="D40:N40"/>
    <mergeCell ref="D39:N39"/>
    <mergeCell ref="D38:N38"/>
    <mergeCell ref="D29:N29"/>
    <mergeCell ref="W26:Z26"/>
    <mergeCell ref="AE26:AJ29"/>
    <mergeCell ref="AU37:AZ37"/>
    <mergeCell ref="AK22:AN22"/>
    <mergeCell ref="AO23:AT23"/>
    <mergeCell ref="AU18:AZ18"/>
    <mergeCell ref="AU22:AZ22"/>
    <mergeCell ref="O78:R78"/>
    <mergeCell ref="O77:R77"/>
    <mergeCell ref="O83:R83"/>
    <mergeCell ref="AU72:AZ72"/>
    <mergeCell ref="AU71:AZ71"/>
    <mergeCell ref="AU70:AZ70"/>
    <mergeCell ref="AU64:AZ64"/>
    <mergeCell ref="AK80:AN80"/>
    <mergeCell ref="AK79:AN79"/>
    <mergeCell ref="AU82:AZ82"/>
    <mergeCell ref="AU83:AZ83"/>
    <mergeCell ref="AO74:AT74"/>
    <mergeCell ref="AO83:AT83"/>
    <mergeCell ref="AO75:AT75"/>
    <mergeCell ref="AO80:AT80"/>
    <mergeCell ref="AU80:AZ80"/>
    <mergeCell ref="AK81:AN81"/>
    <mergeCell ref="AO81:AT81"/>
    <mergeCell ref="AU81:AZ81"/>
    <mergeCell ref="AO87:AT87"/>
    <mergeCell ref="AO76:AT76"/>
    <mergeCell ref="AO78:AT78"/>
    <mergeCell ref="AE80:AJ81"/>
    <mergeCell ref="AU77:AZ77"/>
    <mergeCell ref="AU78:AZ78"/>
    <mergeCell ref="AO77:AT77"/>
    <mergeCell ref="AK77:AN77"/>
    <mergeCell ref="AO59:AT59"/>
    <mergeCell ref="AO60:AT60"/>
    <mergeCell ref="AK59:AN59"/>
    <mergeCell ref="AK73:AN73"/>
    <mergeCell ref="AU60:AZ60"/>
    <mergeCell ref="AO61:AT61"/>
    <mergeCell ref="AU61:AZ61"/>
    <mergeCell ref="AU62:AZ62"/>
    <mergeCell ref="AU63:AZ63"/>
    <mergeCell ref="AU67:AZ67"/>
    <mergeCell ref="AK60:AN60"/>
    <mergeCell ref="AO70:AT70"/>
    <mergeCell ref="AU65:AZ65"/>
    <mergeCell ref="AU59:AZ59"/>
    <mergeCell ref="AK61:AN61"/>
    <mergeCell ref="AU58:AZ58"/>
    <mergeCell ref="AO54:AT54"/>
    <mergeCell ref="AK69:AN69"/>
    <mergeCell ref="AK68:AN68"/>
    <mergeCell ref="AK55:AN55"/>
    <mergeCell ref="AK75:AN75"/>
    <mergeCell ref="AU161:AZ161"/>
    <mergeCell ref="AU135:AZ135"/>
    <mergeCell ref="AU136:AZ136"/>
    <mergeCell ref="AU137:AZ137"/>
    <mergeCell ref="AK152:AN152"/>
    <mergeCell ref="AO152:AT152"/>
    <mergeCell ref="AK158:AN158"/>
    <mergeCell ref="AU113:AZ113"/>
    <mergeCell ref="AO124:AT124"/>
    <mergeCell ref="AU117:AZ117"/>
    <mergeCell ref="AO119:AT119"/>
    <mergeCell ref="AO120:AT120"/>
    <mergeCell ref="AU123:AZ123"/>
    <mergeCell ref="AO118:AT118"/>
    <mergeCell ref="AU138:AZ138"/>
    <mergeCell ref="AU139:AZ139"/>
    <mergeCell ref="AU140:AZ140"/>
    <mergeCell ref="AU141:AZ141"/>
    <mergeCell ref="AU143:AZ143"/>
    <mergeCell ref="AU132:AZ132"/>
    <mergeCell ref="AU133:AZ133"/>
    <mergeCell ref="AU154:AZ154"/>
    <mergeCell ref="AU157:AZ157"/>
    <mergeCell ref="AU126:AZ126"/>
    <mergeCell ref="AU118:AZ118"/>
    <mergeCell ref="AO146:AT146"/>
    <mergeCell ref="AU146:AZ146"/>
    <mergeCell ref="AK147:AN147"/>
    <mergeCell ref="AO147:AT147"/>
    <mergeCell ref="AU147:AZ147"/>
    <mergeCell ref="AK148:AN148"/>
    <mergeCell ref="AK127:AN127"/>
    <mergeCell ref="AO45:AT45"/>
    <mergeCell ref="AU45:AZ45"/>
    <mergeCell ref="AO49:AT49"/>
    <mergeCell ref="AU49:AZ49"/>
    <mergeCell ref="AO62:AT62"/>
    <mergeCell ref="AO63:AT63"/>
    <mergeCell ref="AU68:AZ68"/>
    <mergeCell ref="AU69:AZ69"/>
    <mergeCell ref="AK49:AN49"/>
    <mergeCell ref="AK50:AN50"/>
    <mergeCell ref="AO46:AT46"/>
    <mergeCell ref="AU57:AZ57"/>
    <mergeCell ref="AK57:AN57"/>
    <mergeCell ref="AK58:AN58"/>
    <mergeCell ref="AK62:AN62"/>
    <mergeCell ref="AU46:AZ46"/>
    <mergeCell ref="AU47:AZ47"/>
    <mergeCell ref="AU48:AZ48"/>
    <mergeCell ref="AU51:AZ51"/>
    <mergeCell ref="AO52:AT52"/>
    <mergeCell ref="AU52:AZ52"/>
    <mergeCell ref="AO53:AT53"/>
    <mergeCell ref="AU53:AZ53"/>
    <mergeCell ref="AO57:AT57"/>
    <mergeCell ref="AU54:AZ54"/>
    <mergeCell ref="AU50:AZ50"/>
    <mergeCell ref="AU162:AZ162"/>
    <mergeCell ref="AK162:AN162"/>
    <mergeCell ref="AO162:AT162"/>
    <mergeCell ref="AK153:AN153"/>
    <mergeCell ref="AO153:AT153"/>
    <mergeCell ref="AO125:AT125"/>
    <mergeCell ref="AU125:AZ125"/>
    <mergeCell ref="AA161:AD162"/>
    <mergeCell ref="AA128:AD129"/>
    <mergeCell ref="AA130:AD131"/>
    <mergeCell ref="AA138:AD139"/>
    <mergeCell ref="AE128:AJ129"/>
    <mergeCell ref="AE130:AJ131"/>
    <mergeCell ref="AE132:AJ133"/>
    <mergeCell ref="AA143:AD144"/>
    <mergeCell ref="AO154:AT154"/>
    <mergeCell ref="AO144:AT144"/>
    <mergeCell ref="AO145:AT145"/>
    <mergeCell ref="AA132:AD133"/>
    <mergeCell ref="AK143:AN143"/>
    <mergeCell ref="AO143:AT143"/>
    <mergeCell ref="AE134:AJ135"/>
    <mergeCell ref="AE136:AJ137"/>
    <mergeCell ref="AO126:AT126"/>
    <mergeCell ref="AO161:AT161"/>
    <mergeCell ref="AO135:AT135"/>
    <mergeCell ref="AO136:AT136"/>
    <mergeCell ref="AO137:AT137"/>
    <mergeCell ref="AU144:AZ144"/>
    <mergeCell ref="AK132:AN132"/>
    <mergeCell ref="AK133:AN133"/>
    <mergeCell ref="AO141:AT141"/>
    <mergeCell ref="AU134:AZ134"/>
    <mergeCell ref="AA113:AD114"/>
    <mergeCell ref="AU116:AZ116"/>
    <mergeCell ref="AU158:AZ158"/>
    <mergeCell ref="AE138:AJ139"/>
    <mergeCell ref="AE140:AJ141"/>
    <mergeCell ref="AK134:AN134"/>
    <mergeCell ref="AK135:AN135"/>
    <mergeCell ref="AK136:AN136"/>
    <mergeCell ref="AK137:AN137"/>
    <mergeCell ref="AK138:AN138"/>
    <mergeCell ref="AK139:AN139"/>
    <mergeCell ref="AO129:AT129"/>
    <mergeCell ref="AO130:AT130"/>
    <mergeCell ref="AK129:AN129"/>
    <mergeCell ref="AE150:AJ151"/>
    <mergeCell ref="AK128:AN128"/>
    <mergeCell ref="AK126:AN126"/>
    <mergeCell ref="AA115:AD116"/>
    <mergeCell ref="AO148:AT148"/>
    <mergeCell ref="AU148:AZ148"/>
    <mergeCell ref="AU145:AZ145"/>
    <mergeCell ref="AO132:AT132"/>
    <mergeCell ref="AO133:AT133"/>
    <mergeCell ref="AO138:AT138"/>
    <mergeCell ref="AO139:AT139"/>
    <mergeCell ref="AO140:AT140"/>
    <mergeCell ref="AK140:AN140"/>
    <mergeCell ref="AK141:AN141"/>
    <mergeCell ref="AO134:AT134"/>
    <mergeCell ref="AU131:AZ131"/>
    <mergeCell ref="AO127:AT127"/>
    <mergeCell ref="W134:Z135"/>
    <mergeCell ref="AK161:AN161"/>
    <mergeCell ref="AO158:AT158"/>
    <mergeCell ref="AE161:AJ162"/>
    <mergeCell ref="AK157:AN157"/>
    <mergeCell ref="AO157:AT157"/>
    <mergeCell ref="AE119:AJ120"/>
    <mergeCell ref="A121:AZ121"/>
    <mergeCell ref="A122:A141"/>
    <mergeCell ref="A105:A120"/>
    <mergeCell ref="C115:C118"/>
    <mergeCell ref="C119:C120"/>
    <mergeCell ref="C136:C139"/>
    <mergeCell ref="C140:C141"/>
    <mergeCell ref="AE113:AJ114"/>
    <mergeCell ref="W113:Z114"/>
    <mergeCell ref="W140:Z141"/>
    <mergeCell ref="A142:AZ142"/>
    <mergeCell ref="A143:A148"/>
    <mergeCell ref="C143:C144"/>
    <mergeCell ref="C145:C148"/>
    <mergeCell ref="AE107:AJ107"/>
    <mergeCell ref="AE108:AJ108"/>
    <mergeCell ref="AU105:AZ105"/>
    <mergeCell ref="AE117:AJ118"/>
    <mergeCell ref="AE115:AJ116"/>
    <mergeCell ref="D119:N119"/>
    <mergeCell ref="D120:N120"/>
    <mergeCell ref="D122:N122"/>
    <mergeCell ref="O115:R115"/>
    <mergeCell ref="O116:R116"/>
    <mergeCell ref="AU120:AZ120"/>
    <mergeCell ref="C122:C123"/>
    <mergeCell ref="S122:V123"/>
    <mergeCell ref="W122:Z123"/>
    <mergeCell ref="AA122:AD123"/>
    <mergeCell ref="C124:C127"/>
    <mergeCell ref="S124:V125"/>
    <mergeCell ref="W124:Z125"/>
    <mergeCell ref="AA124:AD125"/>
    <mergeCell ref="AA126:AD127"/>
    <mergeCell ref="D126:N126"/>
    <mergeCell ref="D127:N127"/>
    <mergeCell ref="D124:N124"/>
    <mergeCell ref="D125:N125"/>
    <mergeCell ref="W94:Z97"/>
    <mergeCell ref="S126:V127"/>
    <mergeCell ref="S109:V110"/>
    <mergeCell ref="W126:Z127"/>
    <mergeCell ref="O107:R107"/>
    <mergeCell ref="W102:Z103"/>
    <mergeCell ref="S111:V112"/>
    <mergeCell ref="O126:R126"/>
    <mergeCell ref="O125:R125"/>
    <mergeCell ref="O123:R123"/>
    <mergeCell ref="O109:R109"/>
    <mergeCell ref="O110:R110"/>
    <mergeCell ref="W107:Z107"/>
    <mergeCell ref="W108:Z108"/>
    <mergeCell ref="W115:Z116"/>
    <mergeCell ref="D95:N95"/>
    <mergeCell ref="D96:N96"/>
    <mergeCell ref="O102:R102"/>
    <mergeCell ref="D105:N105"/>
    <mergeCell ref="AA46:AD49"/>
    <mergeCell ref="AA50:AD52"/>
    <mergeCell ref="AA53:AD54"/>
    <mergeCell ref="AA34:AD37"/>
    <mergeCell ref="AO44:AT44"/>
    <mergeCell ref="AO47:AT47"/>
    <mergeCell ref="AO48:AT48"/>
    <mergeCell ref="AE78:AJ79"/>
    <mergeCell ref="O73:R73"/>
    <mergeCell ref="O72:R72"/>
    <mergeCell ref="O47:R47"/>
    <mergeCell ref="O48:R48"/>
    <mergeCell ref="O52:R52"/>
    <mergeCell ref="O53:R53"/>
    <mergeCell ref="O56:R56"/>
    <mergeCell ref="AO82:AT82"/>
    <mergeCell ref="O49:R49"/>
    <mergeCell ref="O50:R50"/>
    <mergeCell ref="O51:R51"/>
    <mergeCell ref="W78:Z79"/>
    <mergeCell ref="AO58:AT58"/>
    <mergeCell ref="O68:R68"/>
    <mergeCell ref="O71:R71"/>
    <mergeCell ref="O67:R67"/>
    <mergeCell ref="AE53:AJ54"/>
    <mergeCell ref="AE57:AJ58"/>
    <mergeCell ref="W71:Z72"/>
    <mergeCell ref="S47:V50"/>
    <mergeCell ref="S51:V52"/>
    <mergeCell ref="AO69:AT69"/>
    <mergeCell ref="AK76:AN76"/>
    <mergeCell ref="AK74:AN74"/>
    <mergeCell ref="O164:R164"/>
    <mergeCell ref="O89:R89"/>
    <mergeCell ref="O90:R90"/>
    <mergeCell ref="O95:R95"/>
    <mergeCell ref="O96:R96"/>
    <mergeCell ref="O98:R98"/>
    <mergeCell ref="O99:R99"/>
    <mergeCell ref="O133:R133"/>
    <mergeCell ref="W161:Z162"/>
    <mergeCell ref="S143:V144"/>
    <mergeCell ref="O155:R155"/>
    <mergeCell ref="O156:R156"/>
    <mergeCell ref="O157:R157"/>
    <mergeCell ref="O161:R161"/>
    <mergeCell ref="O162:R162"/>
    <mergeCell ref="S147:V148"/>
    <mergeCell ref="AA78:AD79"/>
    <mergeCell ref="S94:V97"/>
    <mergeCell ref="S119:V120"/>
    <mergeCell ref="W119:Z120"/>
    <mergeCell ref="W136:Z137"/>
    <mergeCell ref="O138:R138"/>
    <mergeCell ref="O140:R140"/>
    <mergeCell ref="S140:V141"/>
    <mergeCell ref="S82:V83"/>
    <mergeCell ref="O82:R82"/>
    <mergeCell ref="S80:V81"/>
    <mergeCell ref="AA108:AD108"/>
    <mergeCell ref="S107:V107"/>
    <mergeCell ref="S108:V108"/>
    <mergeCell ref="O108:R108"/>
    <mergeCell ref="S115:V116"/>
    <mergeCell ref="AU93:AZ93"/>
    <mergeCell ref="AK89:AN89"/>
    <mergeCell ref="AO89:AT89"/>
    <mergeCell ref="AU89:AZ89"/>
    <mergeCell ref="C90:C92"/>
    <mergeCell ref="AK90:AN90"/>
    <mergeCell ref="AK94:AN94"/>
    <mergeCell ref="AO94:AT94"/>
    <mergeCell ref="AU90:AZ90"/>
    <mergeCell ref="AO88:AT88"/>
    <mergeCell ref="AU94:AZ94"/>
    <mergeCell ref="AK52:AN52"/>
    <mergeCell ref="AO51:AT51"/>
    <mergeCell ref="AA62:AD63"/>
    <mergeCell ref="W62:Z63"/>
    <mergeCell ref="S62:V63"/>
    <mergeCell ref="S67:V70"/>
    <mergeCell ref="W67:Z70"/>
    <mergeCell ref="AA67:AD70"/>
    <mergeCell ref="AE67:AJ70"/>
    <mergeCell ref="AE71:AJ72"/>
    <mergeCell ref="AE73:AJ74"/>
    <mergeCell ref="S75:V77"/>
    <mergeCell ref="S55:V56"/>
    <mergeCell ref="AA75:AD77"/>
    <mergeCell ref="AE75:AJ77"/>
    <mergeCell ref="AE59:AJ61"/>
    <mergeCell ref="AE62:AJ63"/>
    <mergeCell ref="O58:R58"/>
    <mergeCell ref="S59:V61"/>
    <mergeCell ref="AO67:AT67"/>
    <mergeCell ref="AO68:AT68"/>
    <mergeCell ref="AU129:AZ129"/>
    <mergeCell ref="AK122:AN122"/>
    <mergeCell ref="AK123:AN123"/>
    <mergeCell ref="AU115:AZ115"/>
    <mergeCell ref="AK115:AN115"/>
    <mergeCell ref="AK116:AN116"/>
    <mergeCell ref="AK118:AN118"/>
    <mergeCell ref="AK119:AN119"/>
    <mergeCell ref="AK120:AN120"/>
    <mergeCell ref="AE126:AJ127"/>
    <mergeCell ref="AE124:AJ125"/>
    <mergeCell ref="D115:N115"/>
    <mergeCell ref="O127:R127"/>
    <mergeCell ref="AO122:AT122"/>
    <mergeCell ref="AO123:AT123"/>
    <mergeCell ref="AA117:AD118"/>
    <mergeCell ref="AK117:AN117"/>
    <mergeCell ref="AO117:AT117"/>
    <mergeCell ref="O124:R124"/>
    <mergeCell ref="AE122:AJ123"/>
    <mergeCell ref="AU122:AZ122"/>
    <mergeCell ref="AU127:AZ127"/>
    <mergeCell ref="AO128:AT128"/>
    <mergeCell ref="AU128:AZ128"/>
    <mergeCell ref="AA119:AD120"/>
    <mergeCell ref="AK125:AN125"/>
    <mergeCell ref="D106:N106"/>
    <mergeCell ref="AA94:AD97"/>
    <mergeCell ref="D92:N92"/>
    <mergeCell ref="D93:N93"/>
    <mergeCell ref="D94:N94"/>
    <mergeCell ref="D97:N97"/>
    <mergeCell ref="O93:R93"/>
    <mergeCell ref="O94:R94"/>
    <mergeCell ref="D103:N103"/>
    <mergeCell ref="AA91:AD93"/>
    <mergeCell ref="O97:R97"/>
    <mergeCell ref="O63:R63"/>
    <mergeCell ref="O88:R88"/>
    <mergeCell ref="S91:V93"/>
    <mergeCell ref="W91:Z93"/>
    <mergeCell ref="S105:V106"/>
    <mergeCell ref="S98:V101"/>
    <mergeCell ref="W82:Z83"/>
    <mergeCell ref="S102:V103"/>
    <mergeCell ref="O106:R106"/>
    <mergeCell ref="D78:N78"/>
    <mergeCell ref="D79:N79"/>
    <mergeCell ref="S73:V74"/>
    <mergeCell ref="S71:V72"/>
    <mergeCell ref="D91:N91"/>
    <mergeCell ref="AA82:AD83"/>
    <mergeCell ref="S78:V79"/>
    <mergeCell ref="W80:Z81"/>
    <mergeCell ref="O74:R74"/>
    <mergeCell ref="O75:R75"/>
    <mergeCell ref="W75:Z77"/>
    <mergeCell ref="W73:Z74"/>
    <mergeCell ref="D111:N111"/>
    <mergeCell ref="O114:R114"/>
    <mergeCell ref="S113:V114"/>
    <mergeCell ref="D113:N113"/>
    <mergeCell ref="D112:N112"/>
    <mergeCell ref="O112:R112"/>
    <mergeCell ref="O113:R113"/>
    <mergeCell ref="D116:N116"/>
    <mergeCell ref="D118:N118"/>
    <mergeCell ref="AK114:AN114"/>
    <mergeCell ref="O111:R111"/>
    <mergeCell ref="D81:N81"/>
    <mergeCell ref="D107:N107"/>
    <mergeCell ref="D110:N110"/>
    <mergeCell ref="D109:N109"/>
    <mergeCell ref="AE82:AJ83"/>
    <mergeCell ref="A86:AZ86"/>
    <mergeCell ref="A87:A103"/>
    <mergeCell ref="C87:C89"/>
    <mergeCell ref="S87:V90"/>
    <mergeCell ref="W87:Z90"/>
    <mergeCell ref="AA87:AD90"/>
    <mergeCell ref="AE87:AJ90"/>
    <mergeCell ref="AK93:AN93"/>
    <mergeCell ref="AO93:AT93"/>
    <mergeCell ref="AK97:AN97"/>
    <mergeCell ref="AK101:AN101"/>
    <mergeCell ref="D88:N88"/>
    <mergeCell ref="AO111:AT111"/>
    <mergeCell ref="AU111:AZ111"/>
    <mergeCell ref="AO112:AT112"/>
    <mergeCell ref="AO106:AT106"/>
    <mergeCell ref="AO90:AT90"/>
    <mergeCell ref="AU28:AZ28"/>
    <mergeCell ref="AO28:AT28"/>
    <mergeCell ref="AK28:AN28"/>
    <mergeCell ref="AU27:AZ27"/>
    <mergeCell ref="AO27:AT27"/>
    <mergeCell ref="AK27:AN27"/>
    <mergeCell ref="AK65:AN65"/>
    <mergeCell ref="AE46:AJ49"/>
    <mergeCell ref="AE50:AJ52"/>
    <mergeCell ref="AE64:AJ65"/>
    <mergeCell ref="AK64:AN64"/>
    <mergeCell ref="AO71:AT71"/>
    <mergeCell ref="AO72:AT72"/>
    <mergeCell ref="AO50:AT50"/>
    <mergeCell ref="AO65:AT65"/>
    <mergeCell ref="AO79:AT79"/>
    <mergeCell ref="AO64:AT64"/>
    <mergeCell ref="A66:AZ66"/>
    <mergeCell ref="A67:A83"/>
    <mergeCell ref="O69:R69"/>
    <mergeCell ref="O70:R70"/>
    <mergeCell ref="O76:R76"/>
    <mergeCell ref="W53:Z54"/>
    <mergeCell ref="S53:V54"/>
    <mergeCell ref="W51:Z52"/>
    <mergeCell ref="AU40:AZ40"/>
    <mergeCell ref="AO39:AT39"/>
    <mergeCell ref="AK39:AN39"/>
    <mergeCell ref="W43:Z46"/>
    <mergeCell ref="W47:Z50"/>
    <mergeCell ref="O33:R33"/>
    <mergeCell ref="AU32:AZ32"/>
    <mergeCell ref="AO32:AT32"/>
    <mergeCell ref="AK32:AN32"/>
    <mergeCell ref="AU31:AZ31"/>
    <mergeCell ref="AO31:AT31"/>
    <mergeCell ref="AK38:AN38"/>
    <mergeCell ref="AO37:AT37"/>
    <mergeCell ref="AK37:AN37"/>
    <mergeCell ref="AU36:AZ36"/>
    <mergeCell ref="AO36:AT36"/>
    <mergeCell ref="AK36:AN36"/>
    <mergeCell ref="AU35:AZ35"/>
    <mergeCell ref="AO35:AT35"/>
    <mergeCell ref="AU39:AZ39"/>
    <mergeCell ref="AK35:AN35"/>
    <mergeCell ref="AU34:AZ34"/>
    <mergeCell ref="AU29:AZ29"/>
    <mergeCell ref="AK29:AN29"/>
    <mergeCell ref="AO29:AT29"/>
    <mergeCell ref="AO30:AT30"/>
    <mergeCell ref="AO34:AT34"/>
    <mergeCell ref="AK34:AN34"/>
    <mergeCell ref="AU33:AZ33"/>
    <mergeCell ref="AO33:AT33"/>
    <mergeCell ref="AU30:AZ30"/>
    <mergeCell ref="AU38:AZ38"/>
    <mergeCell ref="AK30:AN30"/>
    <mergeCell ref="O27:R27"/>
    <mergeCell ref="O29:R29"/>
    <mergeCell ref="AA26:AD29"/>
    <mergeCell ref="AK31:AN31"/>
    <mergeCell ref="O42:R42"/>
    <mergeCell ref="AE30:AJ33"/>
    <mergeCell ref="O30:R30"/>
    <mergeCell ref="AE34:AJ37"/>
    <mergeCell ref="S35:V38"/>
    <mergeCell ref="W35:Z38"/>
    <mergeCell ref="AE38:AJ41"/>
    <mergeCell ref="S39:V42"/>
    <mergeCell ref="AE42:AJ45"/>
    <mergeCell ref="AA38:AD41"/>
    <mergeCell ref="AA42:AD45"/>
    <mergeCell ref="S33:V34"/>
    <mergeCell ref="W33:Z34"/>
    <mergeCell ref="AA30:AD33"/>
    <mergeCell ref="O41:R41"/>
    <mergeCell ref="O26:R26"/>
    <mergeCell ref="AK26:AN26"/>
    <mergeCell ref="AO40:AT40"/>
    <mergeCell ref="AK40:AN40"/>
    <mergeCell ref="AU43:AZ43"/>
    <mergeCell ref="AU44:AZ44"/>
    <mergeCell ref="S64:V65"/>
    <mergeCell ref="W64:Z65"/>
    <mergeCell ref="AA64:AD65"/>
    <mergeCell ref="W55:Z56"/>
    <mergeCell ref="AK88:AN88"/>
    <mergeCell ref="A26:A65"/>
    <mergeCell ref="C55:C56"/>
    <mergeCell ref="C81:C83"/>
    <mergeCell ref="C67:C74"/>
    <mergeCell ref="C26:C34"/>
    <mergeCell ref="W59:Z61"/>
    <mergeCell ref="AA59:AD61"/>
    <mergeCell ref="S57:V58"/>
    <mergeCell ref="W57:Z58"/>
    <mergeCell ref="AA57:AD58"/>
    <mergeCell ref="AA71:AD72"/>
    <mergeCell ref="AA73:AD74"/>
    <mergeCell ref="C35:C36"/>
    <mergeCell ref="S26:V26"/>
    <mergeCell ref="S27:V28"/>
    <mergeCell ref="W39:Z42"/>
    <mergeCell ref="O40:R40"/>
    <mergeCell ref="O39:R39"/>
    <mergeCell ref="O38:R38"/>
    <mergeCell ref="D34:N34"/>
    <mergeCell ref="O35:R35"/>
    <mergeCell ref="O34:R34"/>
    <mergeCell ref="D37:N37"/>
    <mergeCell ref="D36:N36"/>
    <mergeCell ref="D35:N35"/>
    <mergeCell ref="O28:R28"/>
    <mergeCell ref="AK33:AN33"/>
    <mergeCell ref="S136:V137"/>
    <mergeCell ref="AA140:AD141"/>
    <mergeCell ref="D139:N139"/>
    <mergeCell ref="O139:R139"/>
    <mergeCell ref="S134:V135"/>
    <mergeCell ref="AA134:AD135"/>
    <mergeCell ref="W143:Z144"/>
    <mergeCell ref="D132:N132"/>
    <mergeCell ref="O132:R132"/>
    <mergeCell ref="S132:V133"/>
    <mergeCell ref="W132:Z133"/>
    <mergeCell ref="AA80:AD81"/>
    <mergeCell ref="AA136:AD137"/>
    <mergeCell ref="D67:N67"/>
    <mergeCell ref="D89:N89"/>
    <mergeCell ref="D90:N90"/>
    <mergeCell ref="O92:R92"/>
    <mergeCell ref="O91:R91"/>
    <mergeCell ref="D130:N130"/>
    <mergeCell ref="S128:V129"/>
    <mergeCell ref="S130:V131"/>
    <mergeCell ref="D128:N128"/>
    <mergeCell ref="O128:R128"/>
    <mergeCell ref="W128:Z129"/>
    <mergeCell ref="D117:N117"/>
    <mergeCell ref="O117:R117"/>
    <mergeCell ref="S117:V118"/>
    <mergeCell ref="W117:Z118"/>
    <mergeCell ref="AE143:AJ144"/>
    <mergeCell ref="AE145:AJ146"/>
    <mergeCell ref="AE147:AJ148"/>
    <mergeCell ref="AK144:AN144"/>
    <mergeCell ref="D98:N98"/>
    <mergeCell ref="S152:V152"/>
    <mergeCell ref="S153:V155"/>
    <mergeCell ref="S156:V158"/>
    <mergeCell ref="W152:Z152"/>
    <mergeCell ref="W153:Z155"/>
    <mergeCell ref="W156:Z158"/>
    <mergeCell ref="AA152:AD152"/>
    <mergeCell ref="AA153:AD155"/>
    <mergeCell ref="AA156:AD158"/>
    <mergeCell ref="AE152:AJ152"/>
    <mergeCell ref="AE153:AJ155"/>
    <mergeCell ref="AE156:AJ158"/>
    <mergeCell ref="W138:Z139"/>
    <mergeCell ref="AK146:AN146"/>
    <mergeCell ref="D143:N143"/>
    <mergeCell ref="D144:N144"/>
    <mergeCell ref="O144:R144"/>
    <mergeCell ref="W130:Z131"/>
    <mergeCell ref="AK107:AN107"/>
    <mergeCell ref="AK130:AN130"/>
    <mergeCell ref="AK131:AN131"/>
    <mergeCell ref="AA109:AD110"/>
    <mergeCell ref="AE109:AJ110"/>
    <mergeCell ref="AA107:AD107"/>
    <mergeCell ref="O100:R100"/>
    <mergeCell ref="O101:R101"/>
    <mergeCell ref="O105:R105"/>
    <mergeCell ref="AU153:AZ153"/>
    <mergeCell ref="AK154:AN154"/>
    <mergeCell ref="AK145:AN145"/>
    <mergeCell ref="AA145:AD146"/>
    <mergeCell ref="AA147:AD148"/>
    <mergeCell ref="W147:Z148"/>
    <mergeCell ref="S145:V146"/>
    <mergeCell ref="W145:Z146"/>
    <mergeCell ref="AU155:AZ155"/>
    <mergeCell ref="AK156:AN156"/>
    <mergeCell ref="AO156:AT156"/>
    <mergeCell ref="AU156:AZ156"/>
    <mergeCell ref="AK155:AN155"/>
    <mergeCell ref="AO155:AT155"/>
    <mergeCell ref="C23:C24"/>
    <mergeCell ref="C101:C103"/>
    <mergeCell ref="C93:C95"/>
    <mergeCell ref="C96:C100"/>
    <mergeCell ref="C57:C58"/>
    <mergeCell ref="C59:C65"/>
    <mergeCell ref="C75:C76"/>
    <mergeCell ref="C77:C79"/>
    <mergeCell ref="C134:C135"/>
    <mergeCell ref="C105:C106"/>
    <mergeCell ref="C153:C154"/>
    <mergeCell ref="C84:C85"/>
    <mergeCell ref="C132:C133"/>
    <mergeCell ref="C129:C131"/>
    <mergeCell ref="C111:C112"/>
    <mergeCell ref="C113:C114"/>
    <mergeCell ref="C107:C110"/>
    <mergeCell ref="C37:C54"/>
    <mergeCell ref="S159:V159"/>
    <mergeCell ref="S160:V160"/>
    <mergeCell ref="W159:Z159"/>
    <mergeCell ref="AA159:AD159"/>
    <mergeCell ref="W160:Z160"/>
    <mergeCell ref="AA160:AD160"/>
    <mergeCell ref="D84:N84"/>
    <mergeCell ref="O84:R84"/>
    <mergeCell ref="D85:N85"/>
    <mergeCell ref="O85:R85"/>
    <mergeCell ref="S84:V85"/>
    <mergeCell ref="W84:Z85"/>
    <mergeCell ref="D159:N159"/>
    <mergeCell ref="D160:N160"/>
    <mergeCell ref="C157:C158"/>
    <mergeCell ref="C159:C160"/>
    <mergeCell ref="D146:N146"/>
    <mergeCell ref="O147:R147"/>
    <mergeCell ref="O148:R148"/>
    <mergeCell ref="D123:N123"/>
    <mergeCell ref="O118:R118"/>
    <mergeCell ref="O119:R119"/>
    <mergeCell ref="O120:R120"/>
    <mergeCell ref="O122:R122"/>
    <mergeCell ref="O103:R103"/>
    <mergeCell ref="D99:N99"/>
    <mergeCell ref="D101:N101"/>
    <mergeCell ref="D102:N102"/>
    <mergeCell ref="D100:N100"/>
    <mergeCell ref="D145:N145"/>
    <mergeCell ref="S138:V139"/>
    <mergeCell ref="O143:R143"/>
  </mergeCells>
  <conditionalFormatting sqref="AM8:BZ8 AS6:BZ7">
    <cfRule type="cellIs" dxfId="11" priority="5" operator="greaterThan">
      <formula>"SLWP"</formula>
    </cfRule>
    <cfRule type="cellIs" dxfId="10" priority="6" operator="equal">
      <formula>"L"</formula>
    </cfRule>
    <cfRule type="cellIs" dxfId="9" priority="7" operator="equal">
      <formula>"A"</formula>
    </cfRule>
    <cfRule type="cellIs" dxfId="8" priority="8" operator="equal">
      <formula>"P"</formula>
    </cfRule>
  </conditionalFormatting>
  <conditionalFormatting sqref="AO9:CB9">
    <cfRule type="cellIs" dxfId="7" priority="22" operator="greaterThan">
      <formula>"SLWP"</formula>
    </cfRule>
    <cfRule type="cellIs" dxfId="6" priority="23" operator="equal">
      <formula>"L"</formula>
    </cfRule>
    <cfRule type="cellIs" dxfId="5" priority="24" operator="equal">
      <formula>"A"</formula>
    </cfRule>
    <cfRule type="cellIs" dxfId="4" priority="25" operator="equal">
      <formula>"P"</formula>
    </cfRule>
  </conditionalFormatting>
  <conditionalFormatting sqref="AS4:BZ4">
    <cfRule type="cellIs" dxfId="3" priority="1" operator="greaterThan">
      <formula>"SLWP"</formula>
    </cfRule>
    <cfRule type="cellIs" dxfId="2" priority="2" operator="equal">
      <formula>"L"</formula>
    </cfRule>
    <cfRule type="cellIs" dxfId="1" priority="3" operator="equal">
      <formula>"A"</formula>
    </cfRule>
    <cfRule type="cellIs" dxfId="0" priority="4" operator="equal">
      <formula>"P"</formula>
    </cfRule>
  </conditionalFormatting>
  <dataValidations count="2">
    <dataValidation type="list" allowBlank="1" showInputMessage="1" showErrorMessage="1" sqref="AS163:AV163" xr:uid="{6E1D8614-BE7E-43C5-87E8-DCF386574139}">
      <formula1>"Online, Classroom Discussion"</formula1>
    </dataValidation>
    <dataValidation type="list" allowBlank="1" showInputMessage="1" showErrorMessage="1" sqref="AK12:AN120 AK122:AN162" xr:uid="{8C29BBB7-FA51-4CB1-935E-FC0B9C8C3504}">
      <formula1>"Udemy, Classroom Discussion, YouTube, Others"</formula1>
    </dataValidation>
  </dataValidations>
  <hyperlinks>
    <hyperlink ref="AU60" r:id="rId1" xr:uid="{1998B56F-38D2-4A2D-BFFD-9997B582F3FA}"/>
  </hyperlinks>
  <pageMargins left="0.7" right="0.7" top="0.75" bottom="0.75" header="0.3" footer="0.3"/>
  <ignoredErrors>
    <ignoredError sqref="D4 D6:D8" evalError="1"/>
  </ignoredErrors>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31D2-D294-4DE3-A3C1-082881AD12C6}">
  <dimension ref="A1:E6"/>
  <sheetViews>
    <sheetView workbookViewId="0">
      <selection activeCell="B2" sqref="B2:E6"/>
    </sheetView>
  </sheetViews>
  <sheetFormatPr defaultRowHeight="13.9"/>
  <cols>
    <col min="2" max="3" width="15" customWidth="1"/>
    <col min="4" max="4" width="15.85546875" customWidth="1"/>
    <col min="5" max="5" width="69" customWidth="1"/>
  </cols>
  <sheetData>
    <row r="1" spans="1:5">
      <c r="A1" s="14" t="s">
        <v>988</v>
      </c>
      <c r="B1" s="769" t="s">
        <v>989</v>
      </c>
      <c r="C1" s="769"/>
      <c r="D1" s="14" t="s">
        <v>990</v>
      </c>
      <c r="E1" s="14" t="s">
        <v>120</v>
      </c>
    </row>
    <row r="2" spans="1:5" ht="33" customHeight="1">
      <c r="A2" s="1">
        <v>1</v>
      </c>
      <c r="B2" s="106">
        <v>0</v>
      </c>
      <c r="C2" s="106">
        <v>0.6</v>
      </c>
      <c r="D2" s="154" t="s">
        <v>991</v>
      </c>
      <c r="E2" s="155" t="s">
        <v>992</v>
      </c>
    </row>
    <row r="3" spans="1:5" ht="33" customHeight="1">
      <c r="A3" s="1">
        <v>2</v>
      </c>
      <c r="B3" s="106">
        <v>0.61</v>
      </c>
      <c r="C3" s="106">
        <v>0.7</v>
      </c>
      <c r="D3" s="154" t="s">
        <v>993</v>
      </c>
      <c r="E3" s="155" t="s">
        <v>994</v>
      </c>
    </row>
    <row r="4" spans="1:5" ht="33" customHeight="1">
      <c r="A4" s="1">
        <v>3</v>
      </c>
      <c r="B4" s="106">
        <v>0.71</v>
      </c>
      <c r="C4" s="106">
        <v>0.85</v>
      </c>
      <c r="D4" s="154" t="s">
        <v>995</v>
      </c>
      <c r="E4" s="155" t="s">
        <v>996</v>
      </c>
    </row>
    <row r="5" spans="1:5" ht="33" customHeight="1">
      <c r="A5" s="1">
        <v>4</v>
      </c>
      <c r="B5" s="106">
        <v>0.86</v>
      </c>
      <c r="C5" s="106">
        <v>0.9</v>
      </c>
      <c r="D5" s="154" t="s">
        <v>997</v>
      </c>
      <c r="E5" s="155" t="s">
        <v>998</v>
      </c>
    </row>
    <row r="6" spans="1:5" ht="33" customHeight="1">
      <c r="A6" s="1">
        <v>5</v>
      </c>
      <c r="B6" s="106">
        <v>0.91</v>
      </c>
      <c r="C6" s="106">
        <v>1</v>
      </c>
      <c r="D6" s="154" t="s">
        <v>999</v>
      </c>
      <c r="E6" s="155" t="s">
        <v>1000</v>
      </c>
    </row>
  </sheetData>
  <sheetProtection algorithmName="SHA-512" hashValue="lypPB2ytcQHvqEYNxCIe/5viyUiN0C6XqBf3kfQ71s+OsGn4nCRkp03EtT6t8jydXmEZC6qJSsE2MWdDn8EyMw==" saltValue="ii1t+hX8m7ZAVyaciipLPg==" spinCount="100000" sheet="1" objects="1" scenarios="1"/>
  <mergeCells count="1">
    <mergeCell ref="B1:C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EF005-F202-41EE-B02F-022D59255023}">
  <dimension ref="A1:L9"/>
  <sheetViews>
    <sheetView workbookViewId="0">
      <selection activeCell="M7" sqref="M7"/>
    </sheetView>
  </sheetViews>
  <sheetFormatPr defaultRowHeight="13.9"/>
  <cols>
    <col min="1" max="6" width="15.42578125" customWidth="1"/>
    <col min="7" max="7" width="28.42578125" customWidth="1"/>
    <col min="8" max="8" width="17.28515625" customWidth="1"/>
    <col min="9" max="9" width="1.85546875" customWidth="1"/>
    <col min="10" max="10" width="15.42578125" customWidth="1"/>
    <col min="11" max="11" width="20" customWidth="1"/>
  </cols>
  <sheetData>
    <row r="1" spans="1:12" s="2" customFormat="1" ht="28.9">
      <c r="A1" s="314" t="s">
        <v>1001</v>
      </c>
      <c r="B1" s="314" t="s">
        <v>1002</v>
      </c>
      <c r="C1" s="314" t="s">
        <v>1003</v>
      </c>
      <c r="D1" s="314" t="s">
        <v>1004</v>
      </c>
      <c r="E1" s="314" t="s">
        <v>1005</v>
      </c>
      <c r="F1" s="314" t="s">
        <v>1006</v>
      </c>
      <c r="G1" s="314" t="s">
        <v>1007</v>
      </c>
      <c r="H1" s="314" t="s">
        <v>1008</v>
      </c>
      <c r="I1" s="315"/>
      <c r="J1" s="314" t="s">
        <v>17</v>
      </c>
      <c r="K1" s="315"/>
      <c r="L1" s="315"/>
    </row>
    <row r="2" spans="1:12" s="321" customFormat="1" ht="45.75" customHeight="1">
      <c r="A2" s="316" t="s">
        <v>1009</v>
      </c>
      <c r="B2" s="317">
        <v>1</v>
      </c>
      <c r="C2" s="318">
        <v>2</v>
      </c>
      <c r="D2" s="318">
        <v>2</v>
      </c>
      <c r="E2" s="319">
        <v>3</v>
      </c>
      <c r="F2" s="318">
        <v>2</v>
      </c>
      <c r="G2" s="316" t="s">
        <v>1010</v>
      </c>
      <c r="H2" s="316" t="s">
        <v>1011</v>
      </c>
      <c r="I2" s="320"/>
      <c r="J2" s="323">
        <v>5</v>
      </c>
      <c r="K2" s="320" t="s">
        <v>567</v>
      </c>
      <c r="L2" s="320"/>
    </row>
    <row r="3" spans="1:12" s="321" customFormat="1" ht="45.75" customHeight="1">
      <c r="A3" s="316" t="s">
        <v>1012</v>
      </c>
      <c r="B3" s="318">
        <v>2</v>
      </c>
      <c r="C3" s="317">
        <v>1</v>
      </c>
      <c r="D3" s="318">
        <v>2</v>
      </c>
      <c r="E3" s="319">
        <v>3</v>
      </c>
      <c r="F3" s="318">
        <v>2</v>
      </c>
      <c r="G3" s="316" t="s">
        <v>1013</v>
      </c>
      <c r="H3" s="316" t="s">
        <v>1014</v>
      </c>
      <c r="I3" s="320"/>
      <c r="J3" s="322">
        <v>4</v>
      </c>
      <c r="K3" s="320" t="s">
        <v>1015</v>
      </c>
      <c r="L3" s="320"/>
    </row>
    <row r="4" spans="1:12" s="321" customFormat="1" ht="45.75" customHeight="1">
      <c r="A4" s="316" t="s">
        <v>1016</v>
      </c>
      <c r="B4" s="318">
        <v>2</v>
      </c>
      <c r="C4" s="317">
        <v>1</v>
      </c>
      <c r="D4" s="318">
        <v>2</v>
      </c>
      <c r="E4" s="319">
        <v>3</v>
      </c>
      <c r="F4" s="318">
        <v>2</v>
      </c>
      <c r="G4" s="316" t="s">
        <v>1017</v>
      </c>
      <c r="H4" s="316" t="s">
        <v>1018</v>
      </c>
      <c r="I4" s="320"/>
      <c r="J4" s="1028">
        <v>3</v>
      </c>
      <c r="K4" s="320" t="s">
        <v>10</v>
      </c>
      <c r="L4" s="320"/>
    </row>
    <row r="5" spans="1:12" s="321" customFormat="1" ht="45.75" customHeight="1">
      <c r="A5" s="316" t="s">
        <v>1019</v>
      </c>
      <c r="B5" s="318">
        <v>2</v>
      </c>
      <c r="C5" s="318">
        <v>2</v>
      </c>
      <c r="D5" s="318">
        <v>2</v>
      </c>
      <c r="E5" s="318">
        <v>2</v>
      </c>
      <c r="F5" s="318">
        <v>2</v>
      </c>
      <c r="G5" s="316" t="s">
        <v>1020</v>
      </c>
      <c r="H5" s="316" t="s">
        <v>1021</v>
      </c>
      <c r="I5" s="320"/>
      <c r="J5" s="1028"/>
      <c r="K5" s="320"/>
      <c r="L5" s="320"/>
    </row>
    <row r="6" spans="1:12" s="321" customFormat="1" ht="45.75" customHeight="1">
      <c r="A6" s="316" t="s">
        <v>1022</v>
      </c>
      <c r="B6" s="318">
        <v>2</v>
      </c>
      <c r="C6" s="318">
        <v>2</v>
      </c>
      <c r="D6" s="318">
        <v>2</v>
      </c>
      <c r="E6" s="319">
        <v>3</v>
      </c>
      <c r="F6" s="319">
        <v>3</v>
      </c>
      <c r="G6" s="316" t="s">
        <v>1023</v>
      </c>
      <c r="H6" s="316" t="s">
        <v>1024</v>
      </c>
      <c r="I6" s="320"/>
      <c r="J6" s="1027">
        <v>2</v>
      </c>
      <c r="K6" s="320" t="s">
        <v>1025</v>
      </c>
      <c r="L6" s="320"/>
    </row>
    <row r="7" spans="1:12" s="321" customFormat="1" ht="45.75" customHeight="1">
      <c r="A7" s="316" t="s">
        <v>1026</v>
      </c>
      <c r="B7" s="318">
        <v>2</v>
      </c>
      <c r="C7" s="318">
        <v>2</v>
      </c>
      <c r="D7" s="318">
        <v>2</v>
      </c>
      <c r="E7" s="318">
        <v>2</v>
      </c>
      <c r="F7" s="318">
        <v>2</v>
      </c>
      <c r="G7" s="316" t="s">
        <v>1027</v>
      </c>
      <c r="H7" s="316" t="s">
        <v>1028</v>
      </c>
      <c r="I7" s="320"/>
      <c r="J7" s="1027"/>
      <c r="K7" s="320"/>
      <c r="L7" s="320"/>
    </row>
    <row r="8" spans="1:12" s="321" customFormat="1" ht="45.75" customHeight="1">
      <c r="A8" s="316" t="s">
        <v>1029</v>
      </c>
      <c r="B8" s="317">
        <v>1</v>
      </c>
      <c r="C8" s="318">
        <v>2</v>
      </c>
      <c r="D8" s="319">
        <v>3</v>
      </c>
      <c r="E8" s="319">
        <v>3</v>
      </c>
      <c r="F8" s="319">
        <v>3</v>
      </c>
      <c r="G8" s="316" t="s">
        <v>1030</v>
      </c>
      <c r="H8" s="316" t="s">
        <v>1031</v>
      </c>
      <c r="I8" s="320"/>
      <c r="J8" s="1026">
        <v>1</v>
      </c>
      <c r="K8" s="320" t="s">
        <v>1032</v>
      </c>
      <c r="L8" s="320"/>
    </row>
    <row r="9" spans="1:12" s="321" customFormat="1" ht="45.75" customHeight="1">
      <c r="A9" s="316" t="s">
        <v>1033</v>
      </c>
      <c r="B9" s="318">
        <v>2</v>
      </c>
      <c r="C9" s="318">
        <v>2</v>
      </c>
      <c r="D9" s="318">
        <v>2</v>
      </c>
      <c r="E9" s="319">
        <v>3</v>
      </c>
      <c r="F9" s="318">
        <v>2</v>
      </c>
      <c r="G9" s="316" t="s">
        <v>1034</v>
      </c>
      <c r="H9" s="316" t="s">
        <v>1035</v>
      </c>
      <c r="I9" s="320"/>
      <c r="J9" s="1026"/>
      <c r="K9" s="320"/>
      <c r="L9" s="320"/>
    </row>
  </sheetData>
  <mergeCells count="3">
    <mergeCell ref="J8:J9"/>
    <mergeCell ref="J6:J7"/>
    <mergeCell ref="J4:J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2024-11-11T05:50:34Z</dcterms:created>
  <dcterms:modified xsi:type="dcterms:W3CDTF">2026-02-12T02:52:16Z</dcterms:modified>
  <cp:category/>
  <cp:contentStatus/>
</cp:coreProperties>
</file>